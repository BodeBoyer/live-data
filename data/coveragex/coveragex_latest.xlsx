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5" autoFilterDateGrouping="1"/>
  </bookViews>
  <sheets>
    <sheet name="Cover" sheetId="1" state="visible" r:id="rId1"/>
    <sheet name="Live Data" sheetId="2" state="visible" r:id="rId2"/>
    <sheet name="Assumptions" sheetId="3" state="visible" r:id="rId3"/>
    <sheet name="Sources" sheetId="4" state="visible" r:id="rId4"/>
    <sheet name="Cancel Curves" sheetId="5" state="visible" r:id="rId5"/>
    <sheet name="CX Sales" sheetId="6" state="visible" r:id="rId6"/>
    <sheet name="ASD Sales" sheetId="7" state="visible" r:id="rId7"/>
    <sheet name="Home Sales" sheetId="8" state="visible" r:id="rId8"/>
    <sheet name="Producer Sales" sheetId="9" state="visible" r:id="rId9"/>
    <sheet name="Mepco Outstanding" sheetId="10" state="visible" r:id="rId10"/>
    <sheet name="Marketing Budget" sheetId="11" state="visible" r:id="rId11"/>
    <sheet name="Ops Staffing" sheetId="12" state="visible" r:id="rId12"/>
    <sheet name="SG&amp;A" sheetId="13" state="visible" r:id="rId13"/>
    <sheet name="Debt" sheetId="14" state="visible" r:id="rId14"/>
    <sheet name="Financial Detail" sheetId="15" state="visible" r:id="rId15"/>
    <sheet name="EBITDA Bridge" sheetId="16" state="visible" r:id="rId16"/>
    <sheet name="Financial Summary" sheetId="17" state="visible" r:id="rId17"/>
    <sheet name="Covenants" sheetId="18" state="visible" r:id="rId18"/>
    <sheet name="Credit View" sheetId="19" state="visible" r:id="rId19"/>
    <sheet name="DCF" sheetId="20" state="visible" r:id="rId20"/>
    <sheet name="Trading Comps" sheetId="21" state="visible" r:id="rId21"/>
    <sheet name="Sensitivity" sheetId="22" state="visible" r:id="rId22"/>
    <sheet name="Audit Log" sheetId="23" state="visible" r:id="rId23"/>
    <sheet name="Unit Economics" sheetId="24" state="visible" r:id="rId24"/>
    <sheet name="Quality of Earnings" sheetId="25" state="visible" r:id="rId25"/>
    <sheet name="Free Cash Flow" sheetId="26" state="visible" r:id="rId26"/>
    <sheet name="Charts" sheetId="27" state="visible" r:id="rId27"/>
    <sheet name="Precedent Transactions" sheetId="28" state="visible" r:id="rId28"/>
    <sheet name="LBO Returns" sheetId="29" state="visible" r:id="rId29"/>
    <sheet name="Process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14">
    <numFmt numFmtId="164" formatCode="0.00&quot;x&quot;"/>
    <numFmt numFmtId="165" formatCode="&quot;$&quot;#,##0"/>
    <numFmt numFmtId="166" formatCode="0.0%"/>
    <numFmt numFmtId="167" formatCode="&quot;$&quot;#,##0.00"/>
    <numFmt numFmtId="168" formatCode="0.0&quot;x&quot;"/>
    <numFmt numFmtId="169" formatCode="0.0"/>
    <numFmt numFmtId="170" formatCode="#,##0.0"/>
    <numFmt numFmtId="171" formatCode="&quot;$&quot;#,##0.0&quot;M&quot;"/>
    <numFmt numFmtId="172" formatCode="0.000"/>
    <numFmt numFmtId="173" formatCode="#,##0.0&quot; mo&quot;"/>
    <numFmt numFmtId="174" formatCode="0&quot;x&quot;"/>
    <numFmt numFmtId="175" formatCode="#,##0&quot; mo&quot;"/>
    <numFmt numFmtId="176" formatCode="0.00&quot; mo&quot;"/>
    <numFmt numFmtId="177" formatCode="#,##0;[Red]-#,##0;&quot;-&quot;"/>
  </numFmts>
  <fonts count="3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color rgb="FF0070C0"/>
      <sz val="11"/>
    </font>
    <font>
      <name val="Calibri"/>
      <family val="2"/>
      <sz val="11"/>
    </font>
    <font>
      <name val="Calibri"/>
      <family val="2"/>
      <i val="1"/>
      <color rgb="FF595959"/>
      <sz val="9"/>
    </font>
    <font>
      <name val="Calibri"/>
      <family val="2"/>
      <b val="1"/>
      <color rgb="FFFFFFFF"/>
      <sz val="11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008000"/>
      <sz val="11"/>
    </font>
    <font>
      <name val="Calibri"/>
      <color rgb="000070C0"/>
      <sz val="11"/>
    </font>
    <font>
      <name val="Calibri"/>
      <sz val="11"/>
    </font>
    <font>
      <name val="Georgia"/>
      <b val="1"/>
      <color rgb="001E3A5F"/>
      <sz val="16"/>
    </font>
    <font>
      <name val="Calibri"/>
      <i val="1"/>
      <color rgb="007A7368"/>
      <sz val="8"/>
    </font>
    <font>
      <name val="Georgia"/>
      <b val="1"/>
      <color rgb="001A1814"/>
      <sz val="12"/>
    </font>
    <font>
      <name val="Calibri"/>
      <color rgb="001F58A6"/>
      <sz val="10"/>
    </font>
    <font>
      <name val="Calibri"/>
      <color rgb="001A1814"/>
      <sz val="10"/>
    </font>
    <font>
      <name val="Calibri"/>
      <b val="1"/>
      <color rgb="001E3A5F"/>
      <sz val="10"/>
    </font>
    <font>
      <name val="Calibri"/>
      <color rgb="004A6B3A"/>
      <sz val="10"/>
    </font>
    <font>
      <name val="Georgia"/>
      <b val="1"/>
      <color rgb="001E3A5F"/>
      <sz val="14"/>
    </font>
    <font>
      <name val="Calibri"/>
      <color rgb="FF4A6B3A"/>
      <sz val="11"/>
    </font>
    <font>
      <name val="Georgia"/>
      <b val="1"/>
      <color rgb="001E3A5F"/>
      <sz val="11"/>
    </font>
    <font>
      <name val="Georgia"/>
      <b val="1"/>
      <color rgb="001E3A5F"/>
      <sz val="12"/>
    </font>
    <font>
      <name val="Calibri"/>
      <i val="1"/>
      <color rgb="007A7368"/>
      <sz val="9"/>
    </font>
    <font>
      <name val="Calibri"/>
      <b val="1"/>
      <color rgb="008B6F2A"/>
      <sz val="10"/>
    </font>
    <font>
      <name val="Calibri"/>
      <b val="1"/>
      <color rgb="001E3A5F"/>
      <sz val="10"/>
    </font>
    <font>
      <name val="Calibri"/>
      <i val="1"/>
      <color rgb="001E3A5F"/>
      <sz val="10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5F1EA"/>
      </patternFill>
    </fill>
    <fill>
      <patternFill patternType="solid">
        <fgColor rgb="00EBE5DA"/>
      </patternFill>
    </fill>
    <fill>
      <patternFill patternType="solid">
        <fgColor rgb="FF1E3A5F"/>
      </patternFill>
    </fill>
    <fill>
      <patternFill patternType="solid">
        <fgColor rgb="FFEBE5DA"/>
      </patternFill>
    </fill>
    <fill>
      <patternFill patternType="solid">
        <fgColor rgb="001E3A5F"/>
      </patternFill>
    </fill>
    <fill>
      <patternFill patternType="solid">
        <fgColor rgb="001E3A5F"/>
      </patternFill>
    </fill>
  </fills>
  <borders count="5">
    <border>
      <left/>
      <right/>
      <top/>
      <bottom/>
      <diagonal/>
    </border>
    <border>
      <top style="thin">
        <color rgb="001E3A5F"/>
      </top>
    </border>
    <border>
      <bottom style="thin">
        <color rgb="001E3A5F"/>
      </bottom>
    </border>
    <border>
      <top style="thin">
        <color rgb="001E3A5F"/>
      </top>
    </border>
    <border>
      <top style="thin">
        <color rgb="001E3A5F"/>
      </top>
      <bottom style="double">
        <color rgb="001E3A5F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2" fillId="4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0" fontId="4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165" fontId="5" fillId="0" borderId="0" pivotButton="0" quotePrefix="0" xfId="0"/>
    <xf numFmtId="167" fontId="4" fillId="0" borderId="0" pivotButton="0" quotePrefix="0" xfId="0"/>
    <xf numFmtId="10" fontId="3" fillId="0" borderId="0" pivotButton="0" quotePrefix="0" xfId="0"/>
    <xf numFmtId="4" fontId="3" fillId="0" borderId="0" pivotButton="0" quotePrefix="0" xfId="0"/>
    <xf numFmtId="2" fontId="4" fillId="0" borderId="0" pivotButton="0" quotePrefix="0" xfId="0"/>
    <xf numFmtId="10" fontId="2" fillId="0" borderId="0" pivotButton="0" quotePrefix="0" xfId="0"/>
    <xf numFmtId="168" fontId="4" fillId="0" borderId="0" pivotButton="0" quotePrefix="0" xfId="0"/>
    <xf numFmtId="10" fontId="5" fillId="0" borderId="0" pivotButton="0" quotePrefix="0" xfId="0"/>
    <xf numFmtId="169" fontId="2" fillId="0" borderId="0" pivotButton="0" quotePrefix="0" xfId="0"/>
    <xf numFmtId="170" fontId="5" fillId="0" borderId="0" pivotButton="0" quotePrefix="0" xfId="0"/>
    <xf numFmtId="167" fontId="5" fillId="0" borderId="0" pivotButton="0" quotePrefix="0" xfId="0"/>
    <xf numFmtId="165" fontId="2" fillId="0" borderId="0" pivotButton="0" quotePrefix="0" xfId="0"/>
    <xf numFmtId="165" fontId="2" fillId="4" borderId="0" pivotButton="0" quotePrefix="0" xfId="0"/>
    <xf numFmtId="3" fontId="3" fillId="0" borderId="0" pivotButton="0" quotePrefix="0" xfId="0"/>
    <xf numFmtId="165" fontId="3" fillId="0" borderId="0" pivotButton="0" quotePrefix="0" xfId="0"/>
    <xf numFmtId="171" fontId="4" fillId="0" borderId="0" pivotButton="0" quotePrefix="0" xfId="0"/>
    <xf numFmtId="3" fontId="5" fillId="0" borderId="0" pivotButton="0" quotePrefix="0" xfId="0"/>
    <xf numFmtId="166" fontId="0" fillId="0" borderId="0" pivotButton="0" quotePrefix="0" xfId="0"/>
    <xf numFmtId="164" fontId="2" fillId="4" borderId="0" pivotButton="0" quotePrefix="0" xfId="0"/>
    <xf numFmtId="164" fontId="4" fillId="0" borderId="0" pivotButton="0" quotePrefix="0" xfId="0"/>
    <xf numFmtId="166" fontId="3" fillId="0" borderId="0" pivotButton="0" quotePrefix="0" xfId="0"/>
    <xf numFmtId="168" fontId="3" fillId="0" borderId="0" pivotButton="0" quotePrefix="0" xfId="0"/>
    <xf numFmtId="169" fontId="4" fillId="0" borderId="0" pivotButton="0" quotePrefix="0" xfId="0"/>
    <xf numFmtId="172" fontId="5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168" fontId="2" fillId="0" borderId="0" pivotButton="0" quotePrefix="0" xfId="0"/>
    <xf numFmtId="166" fontId="2" fillId="0" borderId="0" pivotButton="0" quotePrefix="0" xfId="0"/>
    <xf numFmtId="171" fontId="5" fillId="0" borderId="0" pivotButton="0" quotePrefix="0" xfId="0"/>
    <xf numFmtId="164" fontId="3" fillId="0" borderId="0" pivotButton="0" quotePrefix="0" xfId="0"/>
    <xf numFmtId="164" fontId="5" fillId="0" borderId="0" pivotButton="0" quotePrefix="0" xfId="0"/>
    <xf numFmtId="165" fontId="6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7" fillId="3" borderId="0" pivotButton="0" quotePrefix="0" xfId="0"/>
    <xf numFmtId="0" fontId="8" fillId="5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6" borderId="0" pivotButton="0" quotePrefix="0" xfId="0"/>
    <xf numFmtId="0" fontId="12" fillId="0" borderId="0" pivotButton="0" quotePrefix="0" xfId="0"/>
    <xf numFmtId="165" fontId="13" fillId="0" borderId="0" pivotButton="0" quotePrefix="0" xfId="0"/>
    <xf numFmtId="165" fontId="10" fillId="0" borderId="0" pivotButton="0" quotePrefix="0" xfId="0"/>
    <xf numFmtId="165" fontId="12" fillId="0" borderId="0" pivotButton="0" quotePrefix="0" xfId="0"/>
    <xf numFmtId="165" fontId="10" fillId="7" borderId="0" pivotButton="0" quotePrefix="0" xfId="0"/>
    <xf numFmtId="165" fontId="14" fillId="0" borderId="0" pivotButton="0" quotePrefix="0" xfId="0"/>
    <xf numFmtId="168" fontId="10" fillId="0" borderId="0" pivotButton="0" quotePrefix="0" xfId="0"/>
    <xf numFmtId="164" fontId="10" fillId="7" borderId="0" pivotButton="0" quotePrefix="0" xfId="0"/>
    <xf numFmtId="164" fontId="10" fillId="0" borderId="0" pivotButton="0" quotePrefix="0" xfId="0"/>
    <xf numFmtId="168" fontId="10" fillId="7" borderId="0" pivotButton="0" quotePrefix="0" xfId="0"/>
    <xf numFmtId="164" fontId="12" fillId="0" borderId="0" pivotButton="0" quotePrefix="0" xfId="0"/>
    <xf numFmtId="166" fontId="10" fillId="0" borderId="0" pivotButton="0" quotePrefix="0" xfId="0"/>
    <xf numFmtId="0" fontId="15" fillId="8" borderId="0" pivotButton="0" quotePrefix="0" xfId="0"/>
    <xf numFmtId="0" fontId="0" fillId="0" borderId="1" pivotButton="0" quotePrefix="0" xfId="0"/>
    <xf numFmtId="0" fontId="16" fillId="0" borderId="0" pivotButton="0" quotePrefix="0" xfId="0"/>
    <xf numFmtId="0" fontId="17" fillId="9" borderId="0" pivotButton="0" quotePrefix="0" xfId="0"/>
    <xf numFmtId="0" fontId="0" fillId="9" borderId="0" pivotButton="0" quotePrefix="0" xfId="0"/>
    <xf numFmtId="0" fontId="17" fillId="0" borderId="0" pivotButton="0" quotePrefix="0" xfId="0"/>
    <xf numFmtId="3" fontId="18" fillId="0" borderId="0" pivotButton="0" quotePrefix="0" xfId="0"/>
    <xf numFmtId="3" fontId="19" fillId="0" borderId="0" pivotButton="0" quotePrefix="0" xfId="0"/>
    <xf numFmtId="165" fontId="18" fillId="0" borderId="0" pivotButton="0" quotePrefix="0" xfId="0"/>
    <xf numFmtId="165" fontId="19" fillId="0" borderId="0" pivotButton="0" quotePrefix="0" xfId="0"/>
    <xf numFmtId="0" fontId="20" fillId="0" borderId="0" pivotButton="0" quotePrefix="0" xfId="0"/>
    <xf numFmtId="165" fontId="20" fillId="9" borderId="0" pivotButton="0" quotePrefix="0" xfId="0"/>
    <xf numFmtId="165" fontId="21" fillId="0" borderId="0" pivotButton="0" quotePrefix="0" xfId="0"/>
    <xf numFmtId="168" fontId="20" fillId="9" borderId="0" pivotButton="0" quotePrefix="0" xfId="0"/>
    <xf numFmtId="167" fontId="19" fillId="0" borderId="0" pivotButton="0" quotePrefix="0" xfId="0"/>
    <xf numFmtId="173" fontId="20" fillId="9" borderId="0" pivotButton="0" quotePrefix="0" xfId="0"/>
    <xf numFmtId="9" fontId="20" fillId="0" borderId="0" pivotButton="0" quotePrefix="0" xfId="0"/>
    <xf numFmtId="165" fontId="20" fillId="0" borderId="0" pivotButton="0" quotePrefix="0" xfId="0"/>
    <xf numFmtId="166" fontId="16" fillId="0" borderId="0" pivotButton="0" quotePrefix="0" xfId="0"/>
    <xf numFmtId="0" fontId="19" fillId="0" borderId="0" pivotButton="0" quotePrefix="0" xfId="0"/>
    <xf numFmtId="0" fontId="20" fillId="9" borderId="0" pivotButton="0" quotePrefix="0" xfId="0"/>
    <xf numFmtId="168" fontId="18" fillId="0" borderId="0" pivotButton="0" quotePrefix="0" xfId="0"/>
    <xf numFmtId="166" fontId="18" fillId="0" borderId="0" pivotButton="0" quotePrefix="0" xfId="0"/>
    <xf numFmtId="171" fontId="18" fillId="0" borderId="0" pivotButton="0" quotePrefix="0" xfId="0"/>
    <xf numFmtId="0" fontId="18" fillId="0" borderId="0" pivotButton="0" quotePrefix="0" xfId="0"/>
    <xf numFmtId="174" fontId="17" fillId="0" borderId="0" pivotButton="0" quotePrefix="0" xfId="0"/>
    <xf numFmtId="166" fontId="20" fillId="0" borderId="0" pivotButton="0" quotePrefix="0" xfId="0"/>
    <xf numFmtId="0" fontId="22" fillId="10" borderId="0" pivotButton="0" quotePrefix="0" xfId="0"/>
    <xf numFmtId="0" fontId="23" fillId="0" borderId="0" pivotButton="0" quotePrefix="0" xfId="0"/>
    <xf numFmtId="0" fontId="24" fillId="10" borderId="0" pivotButton="0" quotePrefix="0" xfId="0"/>
    <xf numFmtId="0" fontId="2" fillId="11" borderId="0" pivotButton="0" quotePrefix="0" xfId="0"/>
    <xf numFmtId="10" fontId="23" fillId="0" borderId="0" pivotButton="0" quotePrefix="0" xfId="0"/>
    <xf numFmtId="4" fontId="23" fillId="0" borderId="0" pivotButton="0" quotePrefix="0" xfId="0"/>
    <xf numFmtId="165" fontId="2" fillId="11" borderId="0" pivotButton="0" quotePrefix="0" xfId="0"/>
    <xf numFmtId="3" fontId="23" fillId="0" borderId="0" pivotButton="0" quotePrefix="0" xfId="0"/>
    <xf numFmtId="165" fontId="23" fillId="0" borderId="0" pivotButton="0" quotePrefix="0" xfId="0"/>
    <xf numFmtId="164" fontId="2" fillId="11" borderId="0" pivotButton="0" quotePrefix="0" xfId="0"/>
    <xf numFmtId="0" fontId="8" fillId="12" borderId="0" pivotButton="0" quotePrefix="0" xfId="0"/>
    <xf numFmtId="0" fontId="11" fillId="12" borderId="0" pivotButton="0" quotePrefix="0" xfId="0"/>
    <xf numFmtId="165" fontId="10" fillId="9" borderId="0" pivotButton="0" quotePrefix="0" xfId="0"/>
    <xf numFmtId="164" fontId="10" fillId="9" borderId="0" pivotButton="0" quotePrefix="0" xfId="0"/>
    <xf numFmtId="168" fontId="10" fillId="9" borderId="0" pivotButton="0" quotePrefix="0" xfId="0"/>
    <xf numFmtId="166" fontId="23" fillId="0" borderId="0" pivotButton="0" quotePrefix="0" xfId="0"/>
    <xf numFmtId="168" fontId="23" fillId="0" borderId="0" pivotButton="0" quotePrefix="0" xfId="0"/>
    <xf numFmtId="164" fontId="23" fillId="0" borderId="0" pivotButton="0" quotePrefix="0" xfId="0"/>
    <xf numFmtId="0" fontId="25" fillId="0" borderId="0" pivotButton="0" quotePrefix="0" xfId="0"/>
    <xf numFmtId="175" fontId="18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176" fontId="21" fillId="0" borderId="0" pivotButton="0" quotePrefix="0" xfId="0"/>
    <xf numFmtId="0" fontId="11" fillId="13" borderId="0" pivotButton="0" quotePrefix="0" xfId="0"/>
    <xf numFmtId="0" fontId="28" fillId="0" borderId="2" applyAlignment="1" pivotButton="0" quotePrefix="0" xfId="0">
      <alignment horizontal="right"/>
    </xf>
    <xf numFmtId="0" fontId="28" fillId="8" borderId="0" pivotButton="0" quotePrefix="0" xfId="0"/>
    <xf numFmtId="177" fontId="0" fillId="0" borderId="0" pivotButton="0" quotePrefix="0" xfId="0"/>
    <xf numFmtId="0" fontId="28" fillId="9" borderId="3" pivotButton="0" quotePrefix="0" xfId="0"/>
    <xf numFmtId="177" fontId="28" fillId="9" borderId="3" pivotButton="0" quotePrefix="0" xfId="0"/>
    <xf numFmtId="0" fontId="28" fillId="9" borderId="4" pivotButton="0" quotePrefix="0" xfId="0"/>
    <xf numFmtId="177" fontId="28" fillId="9" borderId="4" pivotButton="0" quotePrefix="0" xfId="0"/>
    <xf numFmtId="177" fontId="28" fillId="0" borderId="0" pivotButton="0" quotePrefix="0" xfId="0"/>
    <xf numFmtId="0" fontId="29" fillId="0" borderId="0" pivotButton="0" quotePrefix="0" xfId="0"/>
  </cellXfs>
  <cellStyles count="1">
    <cellStyle name="Normal" xfId="0" builtinId="0"/>
  </cellStyles>
  <dxfs count="6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D9E5CC"/>
        </patternFill>
      </fill>
    </dxf>
    <dxf>
      <fill>
        <patternFill patternType="solid">
          <fgColor rgb="00F5E6BD"/>
        </patternFill>
      </fill>
    </dxf>
    <dxf>
      <fill>
        <patternFill patternType="solid">
          <fgColor rgb="00F4CC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Mix Evolution ($M)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'Charts'!B6</f>
            </strRef>
          </tx>
          <spPr>
            <a:ln>
              <a:prstDash val="solid"/>
            </a:ln>
          </spPr>
          <cat>
            <numRef>
              <f>'Charts'!$A$7:$A$13</f>
            </numRef>
          </cat>
          <val>
            <numRef>
              <f>'Charts'!$B$7:$B$13</f>
            </numRef>
          </val>
        </ser>
        <ser>
          <idx val="1"/>
          <order val="1"/>
          <tx>
            <strRef>
              <f>'Charts'!C6</f>
            </strRef>
          </tx>
          <spPr>
            <a:ln>
              <a:prstDash val="solid"/>
            </a:ln>
          </spPr>
          <cat>
            <numRef>
              <f>'Charts'!$A$7:$A$13</f>
            </numRef>
          </cat>
          <val>
            <numRef>
              <f>'Charts'!$C$7:$C$13</f>
            </numRef>
          </val>
        </ser>
        <ser>
          <idx val="2"/>
          <order val="2"/>
          <tx>
            <strRef>
              <f>'Charts'!D6</f>
            </strRef>
          </tx>
          <spPr>
            <a:ln>
              <a:prstDash val="solid"/>
            </a:ln>
          </spPr>
          <cat>
            <numRef>
              <f>'Charts'!$A$7:$A$13</f>
            </numRef>
          </cat>
          <val>
            <numRef>
              <f>'Charts'!$D$7:$D$13</f>
            </numRef>
          </val>
        </ser>
        <ser>
          <idx val="3"/>
          <order val="3"/>
          <tx>
            <strRef>
              <f>'Charts'!E6</f>
            </strRef>
          </tx>
          <spPr>
            <a:ln>
              <a:prstDash val="solid"/>
            </a:ln>
          </spPr>
          <cat>
            <numRef>
              <f>'Charts'!$A$7:$A$13</f>
            </numRef>
          </cat>
          <val>
            <numRef>
              <f>'Charts'!$E$7:$E$13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Leverage Trajectory (x Adj EBITDA)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'Charts'!$A$18:$A$23</f>
            </numRef>
          </cat>
          <val>
            <numRef>
              <f>'Charts'!$B$18:$B$23</f>
            </numRef>
          </val>
        </ser>
        <ser>
          <idx val="1"/>
          <order val="1"/>
          <tx>
            <strRef>
              <f>'Charts'!C17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'Charts'!$A$18:$A$23</f>
            </numRef>
          </cat>
          <val>
            <numRef>
              <f>'Charts'!$C$18:$C$23</f>
            </numRef>
          </val>
        </ser>
        <ser>
          <idx val="2"/>
          <order val="2"/>
          <tx>
            <strRef>
              <f>'Charts'!D17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'Charts'!$A$18:$A$23</f>
            </numRef>
          </cat>
          <val>
            <numRef>
              <f>'Charts'!$D$18:$D$23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Operating Margin Q1 → Q4 2025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'Charts'!$A$28:$A$31</f>
            </numRef>
          </cat>
          <val>
            <numRef>
              <f>'Charts'!$B$28:$B$31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Financing Cost Stack ($M)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'Charts'!B36</f>
            </strRef>
          </tx>
          <spPr>
            <a:ln>
              <a:prstDash val="solid"/>
            </a:ln>
          </spPr>
          <cat>
            <numRef>
              <f>'Charts'!$A$37:$A$42</f>
            </numRef>
          </cat>
          <val>
            <numRef>
              <f>'Charts'!$B$37:$B$43</f>
            </numRef>
          </val>
        </ser>
        <ser>
          <idx val="1"/>
          <order val="1"/>
          <tx>
            <strRef>
              <f>'Charts'!C36</f>
            </strRef>
          </tx>
          <spPr>
            <a:ln>
              <a:prstDash val="solid"/>
            </a:ln>
          </spPr>
          <cat>
            <numRef>
              <f>'Charts'!$A$37:$A$42</f>
            </numRef>
          </cat>
          <val>
            <numRef>
              <f>'Charts'!$C$37:$C$43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15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25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34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H45"/>
  <sheetViews>
    <sheetView workbookViewId="0">
      <selection activeCell="A1" sqref="A1:H1"/>
    </sheetView>
  </sheetViews>
  <sheetFormatPr baseColWidth="10" defaultColWidth="8.83203125" defaultRowHeight="15"/>
  <cols>
    <col width="24" customWidth="1" style="50" min="1" max="1"/>
    <col width="88" customWidth="1" style="50" min="2" max="2"/>
  </cols>
  <sheetData>
    <row r="1" ht="24" customHeight="1" s="50">
      <c r="A1" s="95" t="inlineStr">
        <is>
          <t>Coverage X — Management Forecast V51</t>
        </is>
      </c>
    </row>
    <row r="3">
      <c r="A3" s="1" t="inlineStr">
        <is>
          <t>Model</t>
        </is>
      </c>
      <c r="B3" t="inlineStr">
        <is>
          <t>CoverageX Management Forecast</t>
        </is>
      </c>
    </row>
    <row r="4">
      <c r="A4" s="1" t="inlineStr">
        <is>
          <t>Version</t>
        </is>
      </c>
      <c r="B4" t="inlineStr">
        <is>
          <t>V56 — Honest revenue composition (V50 baseline CPS + Mepco IAA recognition)</t>
        </is>
      </c>
    </row>
    <row r="5">
      <c r="A5" s="1" t="inlineStr">
        <is>
          <t>Build date</t>
        </is>
      </c>
      <c r="B5" t="inlineStr">
        <is>
          <t>2026-05-20</t>
        </is>
      </c>
    </row>
    <row r="6">
      <c r="A6" s="1" t="inlineStr">
        <is>
          <t>Forecast horizon</t>
        </is>
      </c>
      <c r="B6" t="inlineStr">
        <is>
          <t>2024A – 2030E (monthly granularity, 72 forward months)</t>
        </is>
      </c>
    </row>
    <row r="7">
      <c r="A7" s="1" t="inlineStr">
        <is>
          <t>Anchor period</t>
        </is>
      </c>
      <c r="B7" t="inlineStr">
        <is>
          <t>LTM Sep-25 (CX Quarterly Consolidated Report 2025-9-30)</t>
        </is>
      </c>
    </row>
    <row r="8">
      <c r="A8" s="1" t="inlineStr">
        <is>
          <t>Engine logic</t>
        </is>
      </c>
      <c r="B8" t="inlineStr">
        <is>
          <t>Vintage cohort survival, per V50 (cancel curve × monthly originations)</t>
        </is>
      </c>
    </row>
    <row r="9">
      <c r="A9" s="1" t="inlineStr">
        <is>
          <t>Tax basis</t>
        </is>
      </c>
      <c r="B9" t="inlineStr">
        <is>
          <t>LLC pass-through (0%); normalized 21% C-corp in DCF only</t>
        </is>
      </c>
    </row>
    <row r="10">
      <c r="A10" s="1" t="inlineStr">
        <is>
          <t>Currency / units</t>
        </is>
      </c>
      <c r="B10" t="inlineStr">
        <is>
          <t>USD</t>
        </is>
      </c>
    </row>
    <row r="12">
      <c r="A12" s="1" t="inlineStr">
        <is>
          <t>WORKBOOK CONTENTS</t>
        </is>
      </c>
    </row>
    <row r="13">
      <c r="A13" s="96" t="inlineStr">
        <is>
          <t>Cover</t>
        </is>
      </c>
      <c r="B13" t="inlineStr">
        <is>
          <t>This sheet</t>
        </is>
      </c>
    </row>
    <row r="14">
      <c r="A14" s="96" t="inlineStr">
        <is>
          <t>Live Data</t>
        </is>
      </c>
      <c r="B14" t="inlineStr">
        <is>
          <t>FRED + Yahoo peer snapshot (refresh via refresh_live_data.py)</t>
        </is>
      </c>
    </row>
    <row r="15">
      <c r="A15" s="96" t="inlineStr">
        <is>
          <t>Assumptions</t>
        </is>
      </c>
      <c r="B15" t="inlineStr">
        <is>
          <t>V50 driver structure + Live Data links — single source of truth</t>
        </is>
      </c>
    </row>
    <row r="16">
      <c r="A16" s="96" t="inlineStr">
        <is>
          <t>Sources</t>
        </is>
      </c>
      <c r="B16" t="inlineStr">
        <is>
          <t>Citation table</t>
        </is>
      </c>
    </row>
    <row r="17">
      <c r="A17" s="96" t="inlineStr">
        <is>
          <t>Cancel Curves</t>
        </is>
      </c>
      <c r="B17" t="inlineStr">
        <is>
          <t>Vintage cohort survival rates per product (CX, ASD, Home, Producer)</t>
        </is>
      </c>
    </row>
    <row r="18">
      <c r="A18" s="96" t="inlineStr">
        <is>
          <t>CX Sales</t>
        </is>
      </c>
      <c r="B18" t="inlineStr">
        <is>
          <t>CX retail VSC engine</t>
        </is>
      </c>
    </row>
    <row r="19">
      <c r="A19" s="96" t="inlineStr">
        <is>
          <t>ASD Sales</t>
        </is>
      </c>
      <c r="B19" t="inlineStr">
        <is>
          <t>ASD VSC channel engine</t>
        </is>
      </c>
    </row>
    <row r="20">
      <c r="A20" s="96" t="inlineStr">
        <is>
          <t>Home Sales</t>
        </is>
      </c>
      <c r="B20" t="inlineStr">
        <is>
          <t>CX Home / HWS engine</t>
        </is>
      </c>
    </row>
    <row r="21">
      <c r="A21" s="96" t="inlineStr">
        <is>
          <t>Producer Sales</t>
        </is>
      </c>
      <c r="B21" t="inlineStr">
        <is>
          <t>Third-party producer commission engine</t>
        </is>
      </c>
    </row>
    <row r="22">
      <c r="A22" s="96" t="inlineStr">
        <is>
          <t>Mepco Outstanding</t>
        </is>
      </c>
      <c r="B22" t="inlineStr">
        <is>
          <t>IAA roll-forward by vintage (cross-collateralized)</t>
        </is>
      </c>
    </row>
    <row r="23">
      <c r="A23" s="96" t="inlineStr">
        <is>
          <t>Marketing Budget</t>
        </is>
      </c>
      <c r="B23" t="inlineStr">
        <is>
          <t>Ad spend → leads → contracts by channel</t>
        </is>
      </c>
    </row>
    <row r="24">
      <c r="A24" s="96" t="inlineStr">
        <is>
          <t>Ops Staffing</t>
        </is>
      </c>
      <c r="B24" t="inlineStr">
        <is>
          <t>Headcount per 1,000 active contracts; loaded comp</t>
        </is>
      </c>
    </row>
    <row r="25">
      <c r="A25" s="96" t="inlineStr">
        <is>
          <t>SG&amp;A</t>
        </is>
      </c>
      <c r="B25" t="inlineStr">
        <is>
          <t>Detailed SG&amp;A line items</t>
        </is>
      </c>
    </row>
    <row r="26">
      <c r="A26" s="96" t="inlineStr">
        <is>
          <t>Debt</t>
        </is>
      </c>
      <c r="B26" t="inlineStr">
        <is>
          <t>CNB LOC schedule + interest</t>
        </is>
      </c>
    </row>
    <row r="27">
      <c r="A27" s="96" t="inlineStr">
        <is>
          <t>Financial Detail</t>
        </is>
      </c>
      <c r="B27" t="inlineStr">
        <is>
          <t>Monthly IS/BS by product line (V50 220-row structure)</t>
        </is>
      </c>
    </row>
    <row r="28">
      <c r="A28" s="96" t="inlineStr">
        <is>
          <t>EBITDA Bridge</t>
        </is>
      </c>
      <c r="B28" t="inlineStr">
        <is>
          <t>NI → EBITDA → Adj EBITDA</t>
        </is>
      </c>
    </row>
    <row r="29">
      <c r="A29" s="96" t="inlineStr">
        <is>
          <t>Financial Summary</t>
        </is>
      </c>
      <c r="B29" t="inlineStr">
        <is>
          <t>Annual roll-up — headline view</t>
        </is>
      </c>
    </row>
    <row r="30">
      <c r="A30" s="96" t="inlineStr">
        <is>
          <t>Covenants</t>
        </is>
      </c>
      <c r="B30" t="inlineStr">
        <is>
          <t>CNB FCCR + Current Ratio reproduction + projection</t>
        </is>
      </c>
    </row>
    <row r="31">
      <c r="A31" s="96" t="inlineStr">
        <is>
          <t>DCF</t>
        </is>
      </c>
      <c r="B31" t="inlineStr">
        <is>
          <t>Discounted cash flow valuation</t>
        </is>
      </c>
    </row>
    <row r="32">
      <c r="A32" s="96" t="inlineStr">
        <is>
          <t>Trading Comps</t>
        </is>
      </c>
      <c r="B32" t="inlineStr">
        <is>
          <t>Live peer multiples</t>
        </is>
      </c>
    </row>
    <row r="33">
      <c r="A33" s="96" t="inlineStr">
        <is>
          <t>Sensitivity</t>
        </is>
      </c>
      <c r="B33" t="inlineStr">
        <is>
          <t>WACC × growth × exit-multiple grids</t>
        </is>
      </c>
    </row>
    <row r="34">
      <c r="A34" s="96" t="inlineStr">
        <is>
          <t>Audit Log</t>
        </is>
      </c>
      <c r="B34" t="inlineStr">
        <is>
          <t>Build history + tie-out checks</t>
        </is>
      </c>
    </row>
    <row r="36">
      <c r="A36" s="1" t="inlineStr">
        <is>
          <t>COLOR LEGEND</t>
        </is>
      </c>
    </row>
    <row r="37">
      <c r="A37" s="3" t="inlineStr">
        <is>
          <t>Hardcoded input</t>
        </is>
      </c>
    </row>
    <row r="38">
      <c r="A38" s="4" t="inlineStr">
        <is>
          <t>Formula</t>
        </is>
      </c>
    </row>
    <row r="39">
      <c r="A39" s="96" t="inlineStr">
        <is>
          <t>Link to Live Data / cross-sheet</t>
        </is>
      </c>
    </row>
    <row r="41">
      <c r="A41" s="1" t="inlineStr">
        <is>
          <t>PROVENANCE</t>
        </is>
      </c>
    </row>
    <row r="42">
      <c r="A42" t="inlineStr">
        <is>
          <t>V50 source: ~/Downloads/Amwest-CoverageX Data/Coverage X - Management Forecast V50.xlsx</t>
        </is>
      </c>
    </row>
    <row r="43">
      <c r="A43" t="inlineStr">
        <is>
          <t>Q3 actuals: ~/Downloads/CoverageX Data/CX Quarterly Consolidated Report-2025-9-30.pdf</t>
        </is>
      </c>
    </row>
    <row r="44">
      <c r="A44" t="inlineStr">
        <is>
          <t>Covenant tie-out: ~/Downloads/CoverageX Data/CNB - CoverageX_Covenant Worksheet Dec 31, 2025.xlsx</t>
        </is>
      </c>
    </row>
    <row r="45">
      <c r="A45" t="inlineStr">
        <is>
          <t>Mepco terms: COVERAGE X &amp; MEPCO PROG AG v6 (07/12/2025)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L25"/>
  <sheetViews>
    <sheetView workbookViewId="0">
      <selection activeCell="A1" sqref="A1:K1"/>
    </sheetView>
  </sheetViews>
  <sheetFormatPr baseColWidth="10" defaultColWidth="8.83203125" defaultRowHeight="15"/>
  <cols>
    <col width="30" customWidth="1" style="50" min="1" max="1"/>
    <col width="32" customWidth="1" style="50" min="2" max="2"/>
    <col width="22" customWidth="1" style="50" min="3" max="3"/>
    <col width="14" customWidth="1" style="50" min="4" max="5"/>
    <col width="12" customWidth="1" style="50" min="6" max="7"/>
    <col width="10" customWidth="1" style="50" min="8" max="8"/>
    <col width="12" customWidth="1" style="50" min="9" max="10"/>
    <col width="8" customWidth="1" style="50" min="11" max="11"/>
  </cols>
  <sheetData>
    <row r="1" ht="24" customHeight="1" s="50">
      <c r="A1" s="95" t="inlineStr">
        <is>
          <t>Live Data — Coverage X</t>
        </is>
      </c>
    </row>
    <row r="2">
      <c r="A2" s="5" t="inlineStr">
        <is>
          <t>Auto-refreshed by GitHub Actions at 2026-10-15T15:38:46Z. Re-download from the published URL to get the latest.</t>
        </is>
      </c>
    </row>
    <row r="3">
      <c r="A3" t="inlineStr">
        <is>
          <t>Last refreshed: 2026-10-15T15:38:46Z</t>
        </is>
      </c>
    </row>
    <row r="4">
      <c r="A4" s="97" t="inlineStr">
        <is>
          <t>Metric</t>
        </is>
      </c>
      <c r="B4" s="97" t="inlineStr">
        <is>
          <t>Value</t>
        </is>
      </c>
      <c r="C4" s="97" t="inlineStr">
        <is>
          <t>Unit</t>
        </is>
      </c>
      <c r="D4" s="97" t="inlineStr">
        <is>
          <t>Source</t>
        </is>
      </c>
      <c r="E4" s="97" t="inlineStr">
        <is>
          <t>Series</t>
        </is>
      </c>
      <c r="F4" s="97" t="inlineStr">
        <is>
          <t>URL</t>
        </is>
      </c>
      <c r="G4" s="97" t="inlineStr">
        <is>
          <t>As-of</t>
        </is>
      </c>
      <c r="H4" s="97" t="inlineStr">
        <is>
          <t>Refreshed</t>
        </is>
      </c>
      <c r="I4" s="97" t="inlineStr">
        <is>
          <t>Prior</t>
        </is>
      </c>
      <c r="J4" s="97" t="inlineStr">
        <is>
          <t>Pct Chg</t>
        </is>
      </c>
      <c r="K4" s="97" t="inlineStr">
        <is>
          <t>Drift</t>
        </is>
      </c>
    </row>
    <row r="5">
      <c r="A5" t="inlineStr">
        <is>
          <t>10Y Treasury (Rf)</t>
        </is>
      </c>
      <c r="B5" t="n">
        <v>5.21</v>
      </c>
      <c r="C5" t="inlineStr">
        <is>
          <t>%</t>
        </is>
      </c>
      <c r="D5" t="inlineStr">
        <is>
          <t>FRED</t>
        </is>
      </c>
      <c r="E5" t="inlineStr">
        <is>
          <t>DGS10</t>
        </is>
      </c>
      <c r="F5" t="inlineStr">
        <is>
          <t>https://fred.stlouisfed.org/series/DGS10</t>
        </is>
      </c>
      <c r="G5" t="inlineStr">
        <is>
          <t>2026-10-13</t>
        </is>
      </c>
      <c r="H5" t="inlineStr">
        <is>
          <t>2026-10-15T15:38:46Z</t>
        </is>
      </c>
      <c r="I5" t="n">
        <v>4.67</v>
      </c>
      <c r="J5" t="n">
        <v>0</v>
      </c>
    </row>
    <row r="6">
      <c r="A6" t="inlineStr">
        <is>
          <t>Fed Funds Upper</t>
        </is>
      </c>
      <c r="B6" t="n">
        <v>4</v>
      </c>
      <c r="C6" t="inlineStr">
        <is>
          <t>%</t>
        </is>
      </c>
      <c r="D6" t="inlineStr">
        <is>
          <t>FRED</t>
        </is>
      </c>
      <c r="E6" t="inlineStr">
        <is>
          <t>DFEDTARU</t>
        </is>
      </c>
      <c r="F6" t="inlineStr">
        <is>
          <t>https://fred.stlouisfed.org/series/DFEDTARU</t>
        </is>
      </c>
      <c r="G6" t="inlineStr">
        <is>
          <t>2026-10-15</t>
        </is>
      </c>
      <c r="H6" t="inlineStr">
        <is>
          <t>2026-10-15T15:38:46Z</t>
        </is>
      </c>
      <c r="I6" t="n">
        <v>3.75</v>
      </c>
      <c r="J6" t="n">
        <v>0</v>
      </c>
    </row>
    <row r="7">
      <c r="A7" t="inlineStr">
        <is>
          <t>10Y-2Y Spread</t>
        </is>
      </c>
      <c r="B7" t="n">
        <v>0.37</v>
      </c>
      <c r="C7" t="inlineStr">
        <is>
          <t>%</t>
        </is>
      </c>
      <c r="D7" t="inlineStr">
        <is>
          <t>FRED</t>
        </is>
      </c>
      <c r="E7" t="inlineStr">
        <is>
          <t>T10Y2Y</t>
        </is>
      </c>
      <c r="F7" t="inlineStr">
        <is>
          <t>https://fred.stlouisfed.org/series/T10Y2Y</t>
        </is>
      </c>
      <c r="G7" t="inlineStr">
        <is>
          <t>2026-10-14</t>
        </is>
      </c>
      <c r="H7" t="inlineStr">
        <is>
          <t>2026-10-15T15:38:46Z</t>
        </is>
      </c>
      <c r="I7" t="n">
        <v>0.53</v>
      </c>
      <c r="J7" t="n">
        <v>0</v>
      </c>
    </row>
    <row r="8">
      <c r="A8" t="inlineStr">
        <is>
          <t>Auto sales SAAR</t>
        </is>
      </c>
      <c r="B8" t="n">
        <v>16.378</v>
      </c>
      <c r="C8" t="inlineStr">
        <is>
          <t>millions</t>
        </is>
      </c>
      <c r="D8" t="inlineStr">
        <is>
          <t>FRED</t>
        </is>
      </c>
      <c r="E8" t="inlineStr">
        <is>
          <t>TOTALSA</t>
        </is>
      </c>
      <c r="F8" t="inlineStr">
        <is>
          <t>https://fred.stlouisfed.org/series/TOTALSA</t>
        </is>
      </c>
      <c r="G8" t="inlineStr">
        <is>
          <t>2026-09-01</t>
        </is>
      </c>
      <c r="H8" t="inlineStr">
        <is>
          <t>2026-10-15T15:38:46Z</t>
        </is>
      </c>
      <c r="I8" t="n">
        <v>16.696</v>
      </c>
      <c r="J8" t="n">
        <v>0</v>
      </c>
    </row>
    <row r="9">
      <c r="A9" t="inlineStr">
        <is>
          <t>CPI used cars/trucks</t>
        </is>
      </c>
      <c r="B9" t="n">
        <v>184.395</v>
      </c>
      <c r="C9" t="inlineStr">
        <is>
          <t>index</t>
        </is>
      </c>
      <c r="D9" t="inlineStr">
        <is>
          <t>FRED</t>
        </is>
      </c>
      <c r="E9" t="inlineStr">
        <is>
          <t>CUUR0000SETA02</t>
        </is>
      </c>
      <c r="F9" t="inlineStr">
        <is>
          <t>https://fred.stlouisfed.org/series/CUUR0000SETA02</t>
        </is>
      </c>
      <c r="G9" t="inlineStr">
        <is>
          <t>2026-09-01</t>
        </is>
      </c>
      <c r="H9" t="inlineStr">
        <is>
          <t>2026-10-15T15:38:46Z</t>
        </is>
      </c>
      <c r="I9" t="n">
        <v>177.936</v>
      </c>
      <c r="J9" t="n">
        <v>0</v>
      </c>
    </row>
    <row r="10">
      <c r="A10" t="inlineStr">
        <is>
          <t>U Mich Consumer Sentiment</t>
        </is>
      </c>
      <c r="B10" t="n">
        <v>51.7</v>
      </c>
      <c r="C10" t="inlineStr">
        <is>
          <t>index</t>
        </is>
      </c>
      <c r="D10" t="inlineStr">
        <is>
          <t>FRED</t>
        </is>
      </c>
      <c r="E10" t="inlineStr">
        <is>
          <t>UMCSENT</t>
        </is>
      </c>
      <c r="F10" t="inlineStr">
        <is>
          <t>https://fred.stlouisfed.org/series/UMCSENT</t>
        </is>
      </c>
      <c r="G10" t="inlineStr">
        <is>
          <t>2026-08-01</t>
        </is>
      </c>
      <c r="H10" t="inlineStr">
        <is>
          <t>2026-10-15T15:38:46Z</t>
        </is>
      </c>
      <c r="I10" t="n">
        <v>53.3</v>
      </c>
      <c r="J10" t="n">
        <v>0</v>
      </c>
    </row>
    <row r="11">
      <c r="A11" t="inlineStr">
        <is>
          <t>Unemployment rate</t>
        </is>
      </c>
      <c r="B11" t="n">
        <v>4.2</v>
      </c>
      <c r="C11" t="inlineStr">
        <is>
          <t>%</t>
        </is>
      </c>
      <c r="D11" t="inlineStr">
        <is>
          <t>FRED</t>
        </is>
      </c>
      <c r="E11" t="inlineStr">
        <is>
          <t>UNRATE</t>
        </is>
      </c>
      <c r="F11" t="inlineStr">
        <is>
          <t>https://fred.stlouisfed.org/series/UNRATE</t>
        </is>
      </c>
      <c r="G11" t="inlineStr">
        <is>
          <t>2026-09-01</t>
        </is>
      </c>
      <c r="H11" t="inlineStr">
        <is>
          <t>2026-10-15T15:38:46Z</t>
        </is>
      </c>
      <c r="I11" t="n">
        <v>4.3</v>
      </c>
      <c r="J11" t="n">
        <v>0</v>
      </c>
    </row>
    <row r="12">
      <c r="A12" t="inlineStr">
        <is>
          <t>30Y Mortgage Rate</t>
        </is>
      </c>
      <c r="B12" t="n">
        <v>7.4</v>
      </c>
      <c r="C12" t="inlineStr">
        <is>
          <t>%</t>
        </is>
      </c>
      <c r="D12" t="inlineStr">
        <is>
          <t>FRED</t>
        </is>
      </c>
      <c r="E12" t="inlineStr">
        <is>
          <t>MORTGAGE30US</t>
        </is>
      </c>
      <c r="F12" t="inlineStr">
        <is>
          <t>https://fred.stlouisfed.org/series/MORTGAGE30US</t>
        </is>
      </c>
      <c r="G12" t="inlineStr">
        <is>
          <t>2026-10-08</t>
        </is>
      </c>
      <c r="H12" t="inlineStr">
        <is>
          <t>2026-10-15T15:38:46Z</t>
        </is>
      </c>
      <c r="I12" t="n">
        <v>6.51</v>
      </c>
      <c r="J12" t="n">
        <v>0</v>
      </c>
    </row>
    <row r="13">
      <c r="A13" t="inlineStr">
        <is>
          <t>Vehicle Miles Traveled (idx)</t>
        </is>
      </c>
      <c r="B13" t="n">
        <v>294124</v>
      </c>
      <c r="C13" t="inlineStr">
        <is>
          <t>index</t>
        </is>
      </c>
      <c r="D13" t="inlineStr">
        <is>
          <t>FRED</t>
        </is>
      </c>
      <c r="E13" t="inlineStr">
        <is>
          <t>TRFVOLUSM227NFWA</t>
        </is>
      </c>
      <c r="F13" t="inlineStr">
        <is>
          <t>https://fred.stlouisfed.org/series/TRFVOLUSM227NFWA</t>
        </is>
      </c>
      <c r="G13" t="inlineStr">
        <is>
          <t>2026-08-01</t>
        </is>
      </c>
      <c r="H13" t="inlineStr">
        <is>
          <t>2026-10-15T15:38:46Z</t>
        </is>
      </c>
      <c r="I13" t="n">
        <v>283207</v>
      </c>
      <c r="J13" t="n">
        <v>0</v>
      </c>
    </row>
    <row r="14">
      <c r="A14" t="inlineStr">
        <is>
          <t>Light truck inventory (idx)</t>
        </is>
      </c>
      <c r="B14" t="n">
        <v>187.097</v>
      </c>
      <c r="C14" t="inlineStr">
        <is>
          <t>thousands</t>
        </is>
      </c>
      <c r="D14" t="inlineStr">
        <is>
          <t>FRED</t>
        </is>
      </c>
      <c r="E14" t="inlineStr">
        <is>
          <t>AUINSA</t>
        </is>
      </c>
      <c r="F14" t="inlineStr">
        <is>
          <t>https://fred.stlouisfed.org/series/AUINSA</t>
        </is>
      </c>
      <c r="G14" t="inlineStr">
        <is>
          <t>2026-08-01</t>
        </is>
      </c>
      <c r="H14" t="inlineStr">
        <is>
          <t>2026-10-15T15:38:46Z</t>
        </is>
      </c>
      <c r="I14" t="n">
        <v>198.116</v>
      </c>
      <c r="J14" t="n">
        <v>0</v>
      </c>
    </row>
    <row r="15">
      <c r="A15" t="inlineStr">
        <is>
          <t>AutoLoanRate_48mo</t>
        </is>
      </c>
      <c r="B15" t="n">
        <v>7.47</v>
      </c>
      <c r="C15" t="inlineStr">
        <is>
          <t>%</t>
        </is>
      </c>
      <c r="D15" t="inlineStr">
        <is>
          <t>FRED</t>
        </is>
      </c>
      <c r="E15" t="inlineStr">
        <is>
          <t>TERMCBAUTO48NS</t>
        </is>
      </c>
      <c r="F15" t="inlineStr">
        <is>
          <t>https://fred.stlouisfed.org/series/TERMCBAUTO48NS</t>
        </is>
      </c>
      <c r="G15" t="inlineStr">
        <is>
          <t>2026-08-01</t>
        </is>
      </c>
      <c r="H15" t="inlineStr">
        <is>
          <t>2026-10-15T15:38:46Z</t>
        </is>
      </c>
      <c r="I15" t="n">
        <v>7.36</v>
      </c>
      <c r="J15" t="n">
        <v>0</v>
      </c>
    </row>
    <row r="16">
      <c r="A16" s="97" t="inlineStr">
        <is>
          <t>PEERS (public comps — caveat: no exact match for private specialty F&amp;I)</t>
        </is>
      </c>
    </row>
    <row r="17">
      <c r="A17" s="98" t="inlineStr">
        <is>
          <t>Ticker</t>
        </is>
      </c>
      <c r="B17" s="98" t="inlineStr">
        <is>
          <t>Name</t>
        </is>
      </c>
      <c r="C17" s="98" t="inlineStr">
        <is>
          <t>Sector</t>
        </is>
      </c>
      <c r="D17" s="98" t="inlineStr">
        <is>
          <t>Mkt Cap ($M)</t>
        </is>
      </c>
      <c r="E17" s="98" t="inlineStr">
        <is>
          <t>EV ($M)</t>
        </is>
      </c>
      <c r="F17" s="98" t="inlineStr">
        <is>
          <t>P/E (TTM)</t>
        </is>
      </c>
      <c r="G17" s="98" t="inlineStr">
        <is>
          <t>P/E (Fwd)</t>
        </is>
      </c>
      <c r="H17" s="98" t="inlineStr">
        <is>
          <t>P/B</t>
        </is>
      </c>
      <c r="I17" s="98" t="inlineStr">
        <is>
          <t>EV/EBITDA</t>
        </is>
      </c>
      <c r="J17" s="98" t="inlineStr">
        <is>
          <t>EV/Revenue</t>
        </is>
      </c>
      <c r="K17" s="98" t="inlineStr">
        <is>
          <t>Beta</t>
        </is>
      </c>
      <c r="L17" t="inlineStr">
        <is>
          <t>Live Price</t>
        </is>
      </c>
    </row>
    <row r="18">
      <c r="A18" s="3" t="inlineStr">
        <is>
          <t>AIZ</t>
        </is>
      </c>
      <c r="B18" t="inlineStr">
        <is>
          <t>Assurant, Inc.</t>
        </is>
      </c>
      <c r="C18" t="inlineStr">
        <is>
          <t>Financial Services</t>
        </is>
      </c>
      <c r="D18" s="8" t="n">
        <v>12707.482624</v>
      </c>
      <c r="E18" s="8" t="n">
        <v>12993.482752</v>
      </c>
      <c r="F18" s="9" t="n">
        <v>13.138832</v>
      </c>
      <c r="G18" s="9" t="n">
        <v>11.407976</v>
      </c>
      <c r="H18" s="9" t="n">
        <v>2.1704397</v>
      </c>
      <c r="I18" s="9" t="n">
        <v>254.8500061035156</v>
      </c>
      <c r="J18" s="9" t="n">
        <v>0.987</v>
      </c>
      <c r="K18" s="10" t="n">
        <v>0.556</v>
      </c>
      <c r="L18" t="n">
        <v>280.5650024414062</v>
      </c>
    </row>
    <row r="19">
      <c r="A19" s="3" t="inlineStr">
        <is>
          <t>ALLY</t>
        </is>
      </c>
      <c r="B19" t="inlineStr">
        <is>
          <t>Ally Financial Inc.</t>
        </is>
      </c>
      <c r="C19" t="inlineStr">
        <is>
          <t>Financial Services</t>
        </is>
      </c>
      <c r="D19" s="8" t="n">
        <v>12521.46688</v>
      </c>
      <c r="E19" s="8" t="n">
        <v>26923.466752</v>
      </c>
      <c r="F19" s="9" t="n">
        <v>9.915049</v>
      </c>
      <c r="G19" s="9" t="n">
        <v>6.297889</v>
      </c>
      <c r="H19" s="9" t="n">
        <v>0.9452517</v>
      </c>
      <c r="I19" t="n">
        <v>42.86000061035156</v>
      </c>
      <c r="J19" s="9" t="n">
        <v>3.502</v>
      </c>
      <c r="K19" s="10" t="n">
        <v>1.109</v>
      </c>
      <c r="L19" t="n">
        <v>37.59000015258789</v>
      </c>
    </row>
    <row r="20">
      <c r="A20" s="3" t="inlineStr">
        <is>
          <t>KMX</t>
        </is>
      </c>
      <c r="B20" t="inlineStr">
        <is>
          <t>CarMax Inc</t>
        </is>
      </c>
      <c r="C20" t="inlineStr">
        <is>
          <t>Consumer Cyclical</t>
        </is>
      </c>
      <c r="D20" s="8" t="n">
        <v>5143.837696</v>
      </c>
      <c r="E20" s="8" t="n">
        <v>23757.89568</v>
      </c>
      <c r="F20" s="9" t="n">
        <v>21.589287</v>
      </c>
      <c r="G20" s="9" t="n">
        <v>12.983712</v>
      </c>
      <c r="H20" s="9" t="n">
        <v>0.8733446</v>
      </c>
      <c r="I20" s="9" t="n">
        <v>38.52500152587891</v>
      </c>
      <c r="J20" s="9" t="n">
        <v>0.856</v>
      </c>
      <c r="K20" s="10" t="n">
        <v>1.184</v>
      </c>
      <c r="L20" t="n">
        <v>51.91999816894531</v>
      </c>
    </row>
    <row r="21">
      <c r="A21" s="3" t="inlineStr">
        <is>
          <t>CACC</t>
        </is>
      </c>
      <c r="B21" t="inlineStr">
        <is>
          <t>Credit Acceptance Corporation</t>
        </is>
      </c>
      <c r="C21" t="inlineStr">
        <is>
          <t>Financial Services</t>
        </is>
      </c>
      <c r="D21" s="8" t="n">
        <v>5731.38688</v>
      </c>
      <c r="E21" s="8" t="n">
        <v>12114.286592</v>
      </c>
      <c r="F21" s="9" t="n">
        <v>13.660683</v>
      </c>
      <c r="G21" s="9" t="n">
        <v>10.018833</v>
      </c>
      <c r="H21" s="9" t="n">
        <v>3.7719598</v>
      </c>
      <c r="I21" t="n">
        <v>547.3900146484375</v>
      </c>
      <c r="J21" s="9" t="n">
        <v>9.496</v>
      </c>
      <c r="K21" s="10" t="n">
        <v>1.358</v>
      </c>
      <c r="L21" t="n">
        <v>545.6799926757812</v>
      </c>
    </row>
    <row r="22">
      <c r="A22" s="3" t="inlineStr">
        <is>
          <t>COF</t>
        </is>
      </c>
      <c r="B22" t="inlineStr">
        <is>
          <t>Capital One Financial Corporati</t>
        </is>
      </c>
      <c r="C22" t="inlineStr">
        <is>
          <t>Financial Services</t>
        </is>
      </c>
      <c r="D22" s="8" t="n">
        <v>113275.961344</v>
      </c>
      <c r="E22" s="8" t="n">
        <v>95171.95264</v>
      </c>
      <c r="F22" s="9" t="n">
        <v>55.83742</v>
      </c>
      <c r="G22" s="9" t="n">
        <v>7.539235</v>
      </c>
      <c r="H22" s="9" t="n">
        <v>1.049134</v>
      </c>
      <c r="I22" t="n">
        <v>185.8800048828125</v>
      </c>
      <c r="J22" s="9" t="n">
        <v>2.621</v>
      </c>
      <c r="K22" s="10" t="n">
        <v>1.05</v>
      </c>
      <c r="L22" t="n">
        <v>196.3399963378906</v>
      </c>
    </row>
    <row r="23"/>
    <row r="24">
      <c r="A24" s="1" t="inlineStr">
        <is>
          <t>Median</t>
        </is>
      </c>
      <c r="D24" s="11">
        <f>IFERROR(MEDIAN(D18:D22),"")</f>
        <v/>
      </c>
      <c r="E24" s="11">
        <f>IFERROR(MEDIAN(E18:E22),"")</f>
        <v/>
      </c>
      <c r="F24" s="12">
        <f>IFERROR(MEDIAN(F18:F22),"")</f>
        <v/>
      </c>
      <c r="G24" s="12">
        <f>IFERROR(MEDIAN(G18:G22),"")</f>
        <v/>
      </c>
      <c r="H24" s="12">
        <f>IFERROR(MEDIAN(H18:H22),"")</f>
        <v/>
      </c>
      <c r="I24" s="12">
        <f>IFERROR(MEDIAN(I18:I22),"")</f>
        <v/>
      </c>
      <c r="J24" s="12">
        <f>IFERROR(MEDIAN(J18:J22),"")</f>
        <v/>
      </c>
      <c r="K24" s="11">
        <f>IFERROR(MEDIAN(K18:K22),"")</f>
        <v/>
      </c>
    </row>
    <row r="25">
      <c r="A25" s="1" t="inlineStr">
        <is>
          <t>Mean</t>
        </is>
      </c>
      <c r="D25" s="11">
        <f>IFERROR(AVERAGE(D18:D22),"")</f>
        <v/>
      </c>
      <c r="E25" s="11">
        <f>IFERROR(AVERAGE(E18:E22),"")</f>
        <v/>
      </c>
      <c r="F25" s="12">
        <f>IFERROR(AVERAGE(F18:F22),"")</f>
        <v/>
      </c>
      <c r="G25" s="12">
        <f>IFERROR(AVERAGE(G18:G22),"")</f>
        <v/>
      </c>
      <c r="H25" s="12">
        <f>IFERROR(AVERAGE(H18:H22),"")</f>
        <v/>
      </c>
      <c r="I25" s="12">
        <f>IFERROR(AVERAGE(I18:I22),"")</f>
        <v/>
      </c>
      <c r="J25" s="12">
        <f>IFERROR(AVERAGE(J18:J22),"")</f>
        <v/>
      </c>
      <c r="K25" s="11">
        <f>IFERROR(AVERAGE(K18:K22),"")</f>
        <v/>
      </c>
    </row>
  </sheetData>
  <mergeCells count="2">
    <mergeCell ref="A16:K16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H90"/>
  <sheetViews>
    <sheetView workbookViewId="0">
      <selection activeCell="A1" sqref="A1:H1"/>
    </sheetView>
  </sheetViews>
  <sheetFormatPr baseColWidth="10" defaultColWidth="8.83203125" defaultRowHeight="15"/>
  <cols>
    <col width="44" customWidth="1" style="50" min="1" max="1"/>
    <col width="16" customWidth="1" style="50" min="2" max="2"/>
    <col width="4" customWidth="1" style="50" min="3" max="3"/>
    <col width="50" customWidth="1" style="50" min="4" max="4"/>
  </cols>
  <sheetData>
    <row r="1" ht="24" customHeight="1" s="50">
      <c r="A1" s="95" t="inlineStr">
        <is>
          <t>Assumptions — V56 (final; IAA gross/net dual-documentation)</t>
        </is>
      </c>
    </row>
    <row r="2">
      <c r="A2" s="5" t="inlineStr">
        <is>
          <t>Hardcoded blue. Live Data links green. Salt-and-pepper layout matches V50 for diff-ability.</t>
        </is>
      </c>
    </row>
    <row r="4">
      <c r="A4" s="97" t="inlineStr">
        <is>
          <t>CORE OPERATING ASSUMPTIONS (V50 structure preserved)</t>
        </is>
      </c>
    </row>
    <row r="5">
      <c r="A5" t="inlineStr">
        <is>
          <t>Corporate Tax Rate (Fed &amp; State)</t>
        </is>
      </c>
      <c r="B5" s="13" t="n">
        <v>0</v>
      </c>
    </row>
    <row r="6">
      <c r="A6" t="inlineStr">
        <is>
          <t>Investor Distributions — threshold ($)</t>
        </is>
      </c>
      <c r="B6" s="14" t="n">
        <v>1000000000</v>
      </c>
    </row>
    <row r="7">
      <c r="A7" t="inlineStr">
        <is>
          <t>Investor Distributions — start month</t>
        </is>
      </c>
      <c r="B7" s="15" t="n">
        <v>12</v>
      </c>
    </row>
    <row r="8">
      <c r="A8" t="inlineStr">
        <is>
          <t>Accounts Receivable (days)</t>
        </is>
      </c>
      <c r="B8" s="15" t="n">
        <v>30</v>
      </c>
    </row>
    <row r="9">
      <c r="A9" t="inlineStr">
        <is>
          <t>Annual Increase — Contracts</t>
        </is>
      </c>
      <c r="B9" s="16" t="n">
        <v>0.03</v>
      </c>
      <c r="D9" s="5" t="inlineStr">
        <is>
          <t>Price escalator</t>
        </is>
      </c>
    </row>
    <row r="10">
      <c r="A10" t="inlineStr">
        <is>
          <t>Annual Increase — All Else</t>
        </is>
      </c>
      <c r="B10" s="16" t="n">
        <v>0.03</v>
      </c>
    </row>
    <row r="11">
      <c r="A11" t="inlineStr">
        <is>
          <t>Annual Increase — Salaries</t>
        </is>
      </c>
      <c r="B11" s="16" t="n">
        <v>0.03</v>
      </c>
    </row>
    <row r="12">
      <c r="A12" t="inlineStr">
        <is>
          <t>Payroll Taxes</t>
        </is>
      </c>
      <c r="B12" s="16" t="n">
        <v>0.15</v>
      </c>
    </row>
    <row r="13">
      <c r="A13" t="inlineStr">
        <is>
          <t>Benefits</t>
        </is>
      </c>
      <c r="B13" s="16" t="n">
        <v>0.2</v>
      </c>
    </row>
    <row r="16">
      <c r="A16" s="97" t="inlineStr">
        <is>
          <t>CONTRACT TERMS — Coverage X</t>
        </is>
      </c>
    </row>
    <row r="17">
      <c r="A17" t="inlineStr">
        <is>
          <t>Avg Monthly Customer Payment ($)</t>
        </is>
      </c>
      <c r="B17" s="76" t="n">
        <v>125</v>
      </c>
      <c r="D17" s="53" t="inlineStr">
        <is>
          <t>Calibrated to FY 2025 subscription revenue actual ($118.7M)</t>
        </is>
      </c>
    </row>
    <row r="18">
      <c r="A18" t="inlineStr">
        <is>
          <t>Advanced Customer Payments (months)</t>
        </is>
      </c>
      <c r="B18" s="15" t="n">
        <v>8</v>
      </c>
    </row>
    <row r="19">
      <c r="A19" t="inlineStr">
        <is>
          <t>Mepco IAA per contract — derived ($)</t>
        </is>
      </c>
      <c r="B19" s="17">
        <f>B17*B18</f>
        <v/>
      </c>
    </row>
    <row r="20">
      <c r="A20" t="inlineStr">
        <is>
          <t>Insurance Premium — upfront ($)</t>
        </is>
      </c>
      <c r="B20" s="57" t="n">
        <v>12</v>
      </c>
      <c r="D20" s="53" t="inlineStr">
        <is>
          <t>Sourced from FY 2025 actual $1.2M / ~100K new contracts</t>
        </is>
      </c>
    </row>
    <row r="21">
      <c r="A21" t="inlineStr">
        <is>
          <t>Insurance Premium — after cancel ($)</t>
        </is>
      </c>
      <c r="B21" s="14" t="n">
        <v>50</v>
      </c>
    </row>
    <row r="22">
      <c r="A22" t="inlineStr">
        <is>
          <t>PB Reserve (Mepco) per New Contract ($)</t>
        </is>
      </c>
      <c r="B22" s="14" t="n">
        <v>0</v>
      </c>
    </row>
    <row r="23">
      <c r="A23" t="inlineStr">
        <is>
          <t>Cancel Curve Improvement</t>
        </is>
      </c>
      <c r="B23" s="16" t="n">
        <v>0.2</v>
      </c>
      <c r="D23" s="115" t="inlineStr">
        <is>
          <t>PRIMARY STICK-RATE LEVER — higher = contracts last longer</t>
        </is>
      </c>
    </row>
    <row r="24">
      <c r="A24" t="inlineStr">
        <is>
          <t>Claims Reserve Account ($/contract)</t>
        </is>
      </c>
      <c r="B24" s="14" t="n">
        <v>150</v>
      </c>
    </row>
    <row r="25">
      <c r="A25" t="inlineStr">
        <is>
          <t>Actual Claims Expense Start (month #)</t>
        </is>
      </c>
      <c r="B25" s="15" t="n">
        <v>12</v>
      </c>
    </row>
    <row r="26">
      <c r="A26" t="inlineStr">
        <is>
          <t>Charge Back rate</t>
        </is>
      </c>
      <c r="B26" s="13" t="n">
        <v>0.025</v>
      </c>
    </row>
    <row r="27">
      <c r="A27" t="inlineStr">
        <is>
          <t>Merchant Fees</t>
        </is>
      </c>
      <c r="B27" s="13" t="n">
        <v>0.035</v>
      </c>
    </row>
    <row r="28">
      <c r="A28" t="inlineStr">
        <is>
          <t>Merchant Reserve</t>
        </is>
      </c>
      <c r="B28" s="13" t="n">
        <v>0.035</v>
      </c>
    </row>
    <row r="29">
      <c r="A29" t="inlineStr">
        <is>
          <t>Contract Fulfillment — Postage ($)</t>
        </is>
      </c>
      <c r="B29" s="18" t="n">
        <v>1.83</v>
      </c>
    </row>
    <row r="30">
      <c r="A30" t="inlineStr">
        <is>
          <t>Contract Fulfillment — Printing ($)</t>
        </is>
      </c>
      <c r="B30" s="18" t="n">
        <v>1</v>
      </c>
    </row>
    <row r="32">
      <c r="A32" t="inlineStr">
        <is>
          <t>Initiation fee per new contract ($)</t>
        </is>
      </c>
      <c r="B32" s="57" t="n">
        <v>64</v>
      </c>
      <c r="D32" s="53" t="inlineStr">
        <is>
          <t>Sourced from FY 2025 Q4 PDF: $5.16M init fee / ~100K new contracts</t>
        </is>
      </c>
    </row>
    <row r="33">
      <c r="A33" s="97" t="inlineStr">
        <is>
          <t>MEPCO PROGRAMME AGREEMENT v6 (07/12/2025)</t>
        </is>
      </c>
    </row>
    <row r="34">
      <c r="A34" t="inlineStr">
        <is>
          <t>Mepco IAA per contract — gross programme value (revenue recognition basis, ASC 606)</t>
        </is>
      </c>
      <c r="B34" s="14" t="n">
        <v>1450</v>
      </c>
      <c r="D34" s="5" t="inlineStr">
        <is>
          <t>Per Programme Agreement; differs from V50 derived</t>
        </is>
      </c>
    </row>
    <row r="35">
      <c r="A35" t="inlineStr">
        <is>
          <t>Mepco PB premium (% IAA)</t>
        </is>
      </c>
      <c r="B35" s="13" t="n">
        <v>0.06</v>
      </c>
      <c r="D35" s="5" t="inlineStr">
        <is>
          <t>6% per Programme Agreement</t>
        </is>
      </c>
    </row>
    <row r="36">
      <c r="A36" t="inlineStr">
        <is>
          <t>PB Period (months)</t>
        </is>
      </c>
      <c r="B36" s="15" t="n">
        <v>24</v>
      </c>
    </row>
    <row r="37">
      <c r="A37" t="inlineStr">
        <is>
          <t>Earliest claim filing (month)</t>
        </is>
      </c>
      <c r="B37" s="15" t="n">
        <v>26</v>
      </c>
    </row>
    <row r="38">
      <c r="A38" t="inlineStr">
        <is>
          <t>Producer commission per contract ($)</t>
        </is>
      </c>
      <c r="B38" s="14" t="n">
        <v>500</v>
      </c>
    </row>
    <row r="39">
      <c r="A39" t="inlineStr">
        <is>
          <t>Funding cadence</t>
        </is>
      </c>
      <c r="B39" s="3" t="inlineStr">
        <is>
          <t>Weekly (Thursday)</t>
        </is>
      </c>
    </row>
    <row r="40">
      <c r="A40" t="inlineStr">
        <is>
          <t>Mepco reserve release at CNB loan close</t>
        </is>
      </c>
      <c r="B40" s="14" t="n">
        <v>10000000</v>
      </c>
    </row>
    <row r="42">
      <c r="A42" s="97" t="inlineStr">
        <is>
          <t>CHANNEL SPECIFICS — ASD &amp; Producer</t>
        </is>
      </c>
    </row>
    <row r="43">
      <c r="A43" t="inlineStr">
        <is>
          <t>ASD Increase Sales per Month</t>
        </is>
      </c>
      <c r="B43" s="3" t="n">
        <v>100</v>
      </c>
    </row>
    <row r="44">
      <c r="A44" t="inlineStr">
        <is>
          <t>Producer Increase Sales per Month</t>
        </is>
      </c>
      <c r="B44" s="3" t="n">
        <v>150</v>
      </c>
    </row>
    <row r="45">
      <c r="A45" t="inlineStr">
        <is>
          <t>Producer Fulfillment — Postage ($)</t>
        </is>
      </c>
      <c r="B45" s="18" t="n">
        <v>1.77</v>
      </c>
    </row>
    <row r="46">
      <c r="A46" t="inlineStr">
        <is>
          <t>Producer Fulfillment — Printing ($)</t>
        </is>
      </c>
      <c r="B46" s="18" t="n">
        <v>1</v>
      </c>
    </row>
    <row r="48">
      <c r="A48" s="97" t="inlineStr">
        <is>
          <t>DEBT — CNB Line of Credit</t>
        </is>
      </c>
    </row>
    <row r="49">
      <c r="A49" t="inlineStr">
        <is>
          <t>Beginning Balance</t>
        </is>
      </c>
      <c r="B49" s="14" t="n">
        <v>15000000</v>
      </c>
    </row>
    <row r="50">
      <c r="A50" t="inlineStr">
        <is>
          <t>Bank Underwriting Fee (% of facility)</t>
        </is>
      </c>
      <c r="B50" s="13" t="n">
        <v>0.01</v>
      </c>
    </row>
    <row r="51">
      <c r="A51" t="inlineStr">
        <is>
          <t>Net Interest Rate</t>
        </is>
      </c>
      <c r="B51" s="13" t="n">
        <v>0.08</v>
      </c>
    </row>
    <row r="52">
      <c r="A52" t="inlineStr">
        <is>
          <t>Term (months)</t>
        </is>
      </c>
      <c r="B52" s="15" t="n">
        <v>0</v>
      </c>
    </row>
    <row r="53">
      <c r="A53" t="inlineStr">
        <is>
          <t>Loan Starts (month #)</t>
        </is>
      </c>
      <c r="B53" s="15" t="n">
        <v>7</v>
      </c>
    </row>
    <row r="54">
      <c r="A54" t="inlineStr">
        <is>
          <t>Monthly Interest (calc)</t>
        </is>
      </c>
      <c r="B54" s="17">
        <f>B49*B51/12</f>
        <v/>
      </c>
    </row>
    <row r="56">
      <c r="A56" s="97" t="inlineStr">
        <is>
          <t>MACRO + VALUATION (linked to Live Data)</t>
        </is>
      </c>
    </row>
    <row r="57">
      <c r="A57" t="inlineStr">
        <is>
          <t>Risk-free rate (10Y UST)</t>
        </is>
      </c>
      <c r="B57" s="99">
        <f>'Live Data'!B5</f>
        <v/>
      </c>
    </row>
    <row r="58">
      <c r="A58" t="inlineStr">
        <is>
          <t>Fed Funds Upper</t>
        </is>
      </c>
      <c r="B58" s="99">
        <f>'Live Data'!B6</f>
        <v/>
      </c>
    </row>
    <row r="59">
      <c r="A59" t="inlineStr">
        <is>
          <t>Auto Sales SAAR (M)</t>
        </is>
      </c>
      <c r="B59" s="100">
        <f>'Live Data'!B8</f>
        <v/>
      </c>
    </row>
    <row r="60">
      <c r="A60" t="inlineStr">
        <is>
          <t>Used Car CPI (idx)</t>
        </is>
      </c>
      <c r="B60" s="100">
        <f>'Live Data'!B9</f>
        <v/>
      </c>
    </row>
    <row r="61">
      <c r="A61" t="inlineStr">
        <is>
          <t>Consumer Sentiment</t>
        </is>
      </c>
      <c r="B61" s="100">
        <f>'Live Data'!B10</f>
        <v/>
      </c>
    </row>
    <row r="62">
      <c r="A62" t="inlineStr">
        <is>
          <t>Equity risk premium (ERP)</t>
        </is>
      </c>
      <c r="B62" s="13" t="n">
        <v>0.055</v>
      </c>
    </row>
    <row r="63">
      <c r="A63" t="inlineStr">
        <is>
          <t>Beta (peer-derived)</t>
        </is>
      </c>
      <c r="B63" s="21" t="n">
        <v>1.2</v>
      </c>
    </row>
    <row r="64">
      <c r="A64" t="inlineStr">
        <is>
          <t>Size / illiquidity premium</t>
        </is>
      </c>
      <c r="B64" s="13" t="n">
        <v>0.03</v>
      </c>
    </row>
    <row r="65">
      <c r="A65" s="1" t="inlineStr">
        <is>
          <t>Cost of equity (Ke)</t>
        </is>
      </c>
      <c r="B65" s="22">
        <f>B57+B63*B62+B64</f>
        <v/>
      </c>
    </row>
    <row r="66">
      <c r="A66" t="inlineStr">
        <is>
          <t>Pre-tax cost of debt (Kd)</t>
        </is>
      </c>
      <c r="B66" s="13" t="n">
        <v>0.08500000000000001</v>
      </c>
    </row>
    <row r="67">
      <c r="A67" t="inlineStr">
        <is>
          <t>Target debt / total cap</t>
        </is>
      </c>
      <c r="B67" s="16" t="n">
        <v>0.2</v>
      </c>
    </row>
    <row r="68">
      <c r="A68" t="inlineStr">
        <is>
          <t>C-corp normalized tax (DCF)</t>
        </is>
      </c>
      <c r="B68" s="16" t="n">
        <v>0.21</v>
      </c>
    </row>
    <row r="69">
      <c r="A69" s="1" t="inlineStr">
        <is>
          <t>WACC</t>
        </is>
      </c>
      <c r="B69" s="22">
        <f>B65*(1-B67)+B66*(1-B68)*B67</f>
        <v/>
      </c>
    </row>
    <row r="70">
      <c r="A70" t="inlineStr">
        <is>
          <t>Terminal growth rate</t>
        </is>
      </c>
      <c r="B70" s="16" t="n">
        <v>0.025</v>
      </c>
    </row>
    <row r="71">
      <c r="A71" t="inlineStr">
        <is>
          <t>Exit multiple (EV/EBITDA)</t>
        </is>
      </c>
      <c r="B71" s="23" t="n">
        <v>8</v>
      </c>
    </row>
    <row r="73">
      <c r="A73" s="113" t="inlineStr">
        <is>
          <t>V54 REVENUE RECOGNITION (added in V54)</t>
        </is>
      </c>
    </row>
    <row r="74">
      <c r="A74" t="inlineStr">
        <is>
          <t>Avg contract term for IAA amortization (months)</t>
        </is>
      </c>
      <c r="B74" s="114" t="n">
        <v>12</v>
      </c>
      <c r="D74" s="115" t="inlineStr">
        <is>
          <t>Mepco amortization policy window; separate from cancel curve avg life (13.77mo)</t>
        </is>
      </c>
    </row>
    <row r="75">
      <c r="A75" t="inlineStr">
        <is>
          <t>Mepco IAA per contract ($, linked to programme)</t>
        </is>
      </c>
      <c r="B75" s="80">
        <f>B34</f>
        <v/>
      </c>
      <c r="D75" s="115" t="inlineStr">
        <is>
          <t>Programme Agreement v6 value</t>
        </is>
      </c>
    </row>
    <row r="76">
      <c r="A76" t="inlineStr">
        <is>
          <t>IAA recognition revenue/mo/active ($)</t>
        </is>
      </c>
      <c r="B76" s="82">
        <f>B75/B74</f>
        <v/>
      </c>
      <c r="D76" s="115" t="inlineStr">
        <is>
          <t>IAA amortized over avg term</t>
        </is>
      </c>
    </row>
    <row r="77">
      <c r="A77" t="inlineStr">
        <is>
          <t>LTV per contract ($) — customer payments only</t>
        </is>
      </c>
      <c r="B77" s="77">
        <f>B17*B74</f>
        <v/>
      </c>
      <c r="D77" s="115" t="inlineStr">
        <is>
          <t>CPS × avg term = $125 × 12 = $1,500</t>
        </is>
      </c>
    </row>
    <row r="84">
      <c r="A84" t="inlineStr">
        <is>
          <t>── Net cash basis references (documentation only — not used in revenue formula) ──</t>
        </is>
      </c>
    </row>
    <row r="85">
      <c r="A85" t="inlineStr">
        <is>
          <t>Net IAA cash to CX per contract — dad-reported / V50 B19</t>
        </is>
      </c>
      <c r="B85" t="n">
        <v>1000</v>
      </c>
    </row>
    <row r="86">
      <c r="A86" t="inlineStr">
        <is>
          <t>Net IAA cash to CX — derived: gross less producer comm, PB premium, insurance</t>
        </is>
      </c>
      <c r="B86">
        <f>B34 - B38 - (B34*B35) - B20</f>
        <v/>
      </c>
    </row>
    <row r="87">
      <c r="A87" t="inlineStr">
        <is>
          <t xml:space="preserve">  → flows: $1,450 gross − $500 producer comm − $87 PB premium − $12 insurance = $851 derived</t>
        </is>
      </c>
    </row>
    <row r="89">
      <c r="A89" t="inlineStr">
        <is>
          <t>Revenue recognition: V55 uses GROSS programme value ($1,450) amortized over 12 months per ASC 606.</t>
        </is>
      </c>
    </row>
    <row r="90">
      <c r="A90" t="inlineStr">
        <is>
          <t>Producer commission ($500), PB premium, and insurance flow through Cost of Service — see Producer Sales R18-21.</t>
        </is>
      </c>
    </row>
  </sheetData>
  <mergeCells count="7">
    <mergeCell ref="A56:H56"/>
    <mergeCell ref="A4:H4"/>
    <mergeCell ref="A48:H48"/>
    <mergeCell ref="A16:H16"/>
    <mergeCell ref="A42:H42"/>
    <mergeCell ref="A33:H3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/>
  </sheetPr>
  <dimension ref="A1:F24"/>
  <sheetViews>
    <sheetView workbookViewId="0">
      <selection activeCell="A1" sqref="A1:F1"/>
    </sheetView>
  </sheetViews>
  <sheetFormatPr baseColWidth="10" defaultColWidth="8.83203125" defaultRowHeight="15"/>
  <cols>
    <col width="42" customWidth="1" style="50" min="1" max="1"/>
    <col width="12" customWidth="1" style="50" min="2" max="2"/>
    <col width="22" customWidth="1" style="50" min="3" max="3"/>
    <col width="50" customWidth="1" style="50" min="4" max="4"/>
    <col width="38" customWidth="1" style="50" min="5" max="5"/>
    <col width="22" customWidth="1" style="50" min="6" max="6"/>
  </cols>
  <sheetData>
    <row r="1" ht="24" customHeight="1" s="50">
      <c r="A1" s="95" t="inlineStr">
        <is>
          <t>Sources &amp; Data Lineage</t>
        </is>
      </c>
    </row>
    <row r="2">
      <c r="A2" s="5" t="inlineStr">
        <is>
          <t>One row per source. Last Refresh updated by refresh_live_data.py.</t>
        </is>
      </c>
    </row>
    <row r="4">
      <c r="A4" s="97" t="inlineStr">
        <is>
          <t>Source</t>
        </is>
      </c>
      <c r="B4" s="97" t="inlineStr">
        <is>
          <t>Type</t>
        </is>
      </c>
      <c r="C4" s="97" t="inlineStr">
        <is>
          <t>Identifier</t>
        </is>
      </c>
      <c r="D4" s="97" t="inlineStr">
        <is>
          <t>URL / Path</t>
        </is>
      </c>
      <c r="E4" s="97" t="inlineStr">
        <is>
          <t>Used in</t>
        </is>
      </c>
      <c r="F4" s="97" t="inlineStr">
        <is>
          <t>Last Refresh</t>
        </is>
      </c>
    </row>
    <row r="5">
      <c r="A5" s="3" t="inlineStr">
        <is>
          <t>V50 — Coverage X Management Forecast</t>
        </is>
      </c>
      <c r="B5" t="inlineStr">
        <is>
          <t>Internal</t>
        </is>
      </c>
      <c r="C5" t="inlineStr">
        <is>
          <t>V50.xlsx</t>
        </is>
      </c>
      <c r="D5" t="inlineStr">
        <is>
          <t>~/Downloads/Amwest-CoverageX Data/</t>
        </is>
      </c>
      <c r="E5" t="inlineStr">
        <is>
          <t>Cancel curve, monthly contracts, unit econ</t>
        </is>
      </c>
      <c r="F5" t="inlineStr">
        <is>
          <t>static (V50)</t>
        </is>
      </c>
    </row>
    <row r="6">
      <c r="A6" s="3" t="inlineStr">
        <is>
          <t>FRED — 10Y Treasury</t>
        </is>
      </c>
      <c r="B6" t="inlineStr">
        <is>
          <t>Macro</t>
        </is>
      </c>
      <c r="C6" t="inlineStr">
        <is>
          <t>DGS10</t>
        </is>
      </c>
      <c r="D6" t="inlineStr">
        <is>
          <t>https://fred.stlouisfed.org/series/DGS10</t>
        </is>
      </c>
      <c r="E6" t="inlineStr">
        <is>
          <t>Live Data; Assumptions Rf; WACC</t>
        </is>
      </c>
      <c r="F6" t="inlineStr">
        <is>
          <t>2026-05-20 03:20 UTC</t>
        </is>
      </c>
    </row>
    <row r="7">
      <c r="A7" s="3" t="inlineStr">
        <is>
          <t>FRED — Fed Funds Upper</t>
        </is>
      </c>
      <c r="B7" t="inlineStr">
        <is>
          <t>Macro</t>
        </is>
      </c>
      <c r="C7" t="inlineStr">
        <is>
          <t>DFEDTARU</t>
        </is>
      </c>
      <c r="D7" t="inlineStr">
        <is>
          <t>https://fred.stlouisfed.org/series/DFEDTARU</t>
        </is>
      </c>
      <c r="E7" t="inlineStr">
        <is>
          <t>Live Data</t>
        </is>
      </c>
      <c r="F7" t="inlineStr">
        <is>
          <t>2026-05-20 03:20 UTC</t>
        </is>
      </c>
    </row>
    <row r="8">
      <c r="A8" s="3" t="inlineStr">
        <is>
          <t>FRED — 10Y-2Y Spread</t>
        </is>
      </c>
      <c r="B8" t="inlineStr">
        <is>
          <t>Macro</t>
        </is>
      </c>
      <c r="C8" t="inlineStr">
        <is>
          <t>T10Y2Y</t>
        </is>
      </c>
      <c r="D8" t="inlineStr">
        <is>
          <t>https://fred.stlouisfed.org/series/T10Y2Y</t>
        </is>
      </c>
      <c r="E8" t="inlineStr">
        <is>
          <t>Live Data; recession context</t>
        </is>
      </c>
      <c r="F8" t="inlineStr">
        <is>
          <t>2026-05-20 03:20 UTC</t>
        </is>
      </c>
    </row>
    <row r="9">
      <c r="A9" s="3" t="inlineStr">
        <is>
          <t>FRED — Auto SAAR</t>
        </is>
      </c>
      <c r="B9" t="inlineStr">
        <is>
          <t>Macro</t>
        </is>
      </c>
      <c r="C9" t="inlineStr">
        <is>
          <t>TOTALSA</t>
        </is>
      </c>
      <c r="D9" t="inlineStr">
        <is>
          <t>https://fred.stlouisfed.org/series/TOTALSA</t>
        </is>
      </c>
      <c r="E9" t="inlineStr">
        <is>
          <t>Live Data; auto market context</t>
        </is>
      </c>
      <c r="F9" t="inlineStr">
        <is>
          <t>2026-05-20 03:20 UTC</t>
        </is>
      </c>
    </row>
    <row r="10">
      <c r="A10" s="3" t="inlineStr">
        <is>
          <t>FRED — Used Vehicle CPI</t>
        </is>
      </c>
      <c r="B10" t="inlineStr">
        <is>
          <t>Macro</t>
        </is>
      </c>
      <c r="C10" t="inlineStr">
        <is>
          <t>CUUR0000SETA02</t>
        </is>
      </c>
      <c r="D10" t="inlineStr">
        <is>
          <t>https://fred.stlouisfed.org/series/CUUR0000SETA02</t>
        </is>
      </c>
      <c r="E10" t="inlineStr">
        <is>
          <t>Live Data; VSC value proxy</t>
        </is>
      </c>
      <c r="F10" t="inlineStr">
        <is>
          <t>2026-05-20 03:20 UTC</t>
        </is>
      </c>
    </row>
    <row r="11">
      <c r="A11" s="3" t="inlineStr">
        <is>
          <t>FRED — U Mich Sentiment</t>
        </is>
      </c>
      <c r="B11" t="inlineStr">
        <is>
          <t>Macro</t>
        </is>
      </c>
      <c r="C11" t="inlineStr">
        <is>
          <t>UMCSENT</t>
        </is>
      </c>
      <c r="D11" t="inlineStr">
        <is>
          <t>https://fred.stlouisfed.org/series/UMCSENT</t>
        </is>
      </c>
      <c r="E11" t="inlineStr">
        <is>
          <t>Live Data; consumer demand</t>
        </is>
      </c>
      <c r="F11" t="inlineStr">
        <is>
          <t>2026-05-20 03:20 UTC</t>
        </is>
      </c>
    </row>
    <row r="12">
      <c r="A12" s="3" t="inlineStr">
        <is>
          <t>FRED — Unemployment Rate</t>
        </is>
      </c>
      <c r="B12" t="inlineStr">
        <is>
          <t>Macro</t>
        </is>
      </c>
      <c r="C12" t="inlineStr">
        <is>
          <t>UNRATE</t>
        </is>
      </c>
      <c r="D12" t="inlineStr">
        <is>
          <t>https://fred.stlouisfed.org/series/UNRATE</t>
        </is>
      </c>
      <c r="E12" t="inlineStr">
        <is>
          <t>Live Data; cancel curve sensitivity</t>
        </is>
      </c>
      <c r="F12" t="inlineStr">
        <is>
          <t>2026-05-20 03:20 UTC</t>
        </is>
      </c>
    </row>
    <row r="13">
      <c r="A13" s="3" t="inlineStr">
        <is>
          <t>FRED — 30Y Mortgage Rate</t>
        </is>
      </c>
      <c r="B13" t="inlineStr">
        <is>
          <t>Macro</t>
        </is>
      </c>
      <c r="C13" t="inlineStr">
        <is>
          <t>MORTGAGE30US</t>
        </is>
      </c>
      <c r="D13" t="inlineStr">
        <is>
          <t>https://fred.stlouisfed.org/series/MORTGAGE30US</t>
        </is>
      </c>
      <c r="E13" t="inlineStr">
        <is>
          <t>Live Data; cross-product context</t>
        </is>
      </c>
      <c r="F13" t="inlineStr">
        <is>
          <t>2026-05-20 03:20 UTC</t>
        </is>
      </c>
    </row>
    <row r="14">
      <c r="A14" s="3" t="inlineStr">
        <is>
          <t>FRED — Vehicle Miles Traveled</t>
        </is>
      </c>
      <c r="B14" t="inlineStr">
        <is>
          <t>Macro</t>
        </is>
      </c>
      <c r="C14" t="inlineStr">
        <is>
          <t>TRFVOLUSM227NFWA</t>
        </is>
      </c>
      <c r="D14" t="inlineStr">
        <is>
          <t>https://fred.stlouisfed.org/series/TRFVOLUSM227NFWA</t>
        </is>
      </c>
      <c r="E14" t="inlineStr">
        <is>
          <t>Live Data; VSC usage proxy</t>
        </is>
      </c>
      <c r="F14" t="inlineStr">
        <is>
          <t>2026-05-20 03:20 UTC</t>
        </is>
      </c>
    </row>
    <row r="15">
      <c r="A15" s="3" t="inlineStr">
        <is>
          <t>Yahoo Finance — AIZ</t>
        </is>
      </c>
      <c r="B15" t="inlineStr">
        <is>
          <t>Peer</t>
        </is>
      </c>
      <c r="C15" t="inlineStr">
        <is>
          <t>AIZ</t>
        </is>
      </c>
      <c r="D15" t="inlineStr">
        <is>
          <t>https://finance.yahoo.com/quote/AIZ</t>
        </is>
      </c>
      <c r="E15" t="inlineStr">
        <is>
          <t>Live Data; Trading Comps</t>
        </is>
      </c>
      <c r="F15" t="inlineStr">
        <is>
          <t>2026-05-20 03:20 UTC</t>
        </is>
      </c>
    </row>
    <row r="16">
      <c r="A16" s="3" t="inlineStr">
        <is>
          <t>Yahoo Finance — ALLY</t>
        </is>
      </c>
      <c r="B16" t="inlineStr">
        <is>
          <t>Peer</t>
        </is>
      </c>
      <c r="C16" t="inlineStr">
        <is>
          <t>ALLY</t>
        </is>
      </c>
      <c r="D16" t="inlineStr">
        <is>
          <t>https://finance.yahoo.com/quote/ALLY</t>
        </is>
      </c>
      <c r="E16" t="inlineStr">
        <is>
          <t>Live Data; Trading Comps</t>
        </is>
      </c>
      <c r="F16" t="inlineStr">
        <is>
          <t>2026-05-20 03:20 UTC</t>
        </is>
      </c>
    </row>
    <row r="17">
      <c r="A17" s="3" t="inlineStr">
        <is>
          <t>Yahoo Finance — KMX</t>
        </is>
      </c>
      <c r="B17" t="inlineStr">
        <is>
          <t>Peer</t>
        </is>
      </c>
      <c r="C17" t="inlineStr">
        <is>
          <t>KMX</t>
        </is>
      </c>
      <c r="D17" t="inlineStr">
        <is>
          <t>https://finance.yahoo.com/quote/KMX</t>
        </is>
      </c>
      <c r="E17" t="inlineStr">
        <is>
          <t>Live Data; Trading Comps</t>
        </is>
      </c>
      <c r="F17" t="inlineStr">
        <is>
          <t>2026-05-20 03:20 UTC</t>
        </is>
      </c>
    </row>
    <row r="18">
      <c r="A18" s="3" t="inlineStr">
        <is>
          <t>Yahoo Finance — CACC</t>
        </is>
      </c>
      <c r="B18" t="inlineStr">
        <is>
          <t>Peer</t>
        </is>
      </c>
      <c r="C18" t="inlineStr">
        <is>
          <t>CACC</t>
        </is>
      </c>
      <c r="D18" t="inlineStr">
        <is>
          <t>https://finance.yahoo.com/quote/CACC</t>
        </is>
      </c>
      <c r="E18" t="inlineStr">
        <is>
          <t>Live Data; Trading Comps</t>
        </is>
      </c>
      <c r="F18" t="inlineStr">
        <is>
          <t>2026-05-20 03:20 UTC</t>
        </is>
      </c>
    </row>
    <row r="19">
      <c r="A19" s="3" t="inlineStr">
        <is>
          <t>Yahoo Finance — COF</t>
        </is>
      </c>
      <c r="B19" t="inlineStr">
        <is>
          <t>Peer</t>
        </is>
      </c>
      <c r="C19" t="inlineStr">
        <is>
          <t>COF</t>
        </is>
      </c>
      <c r="D19" t="inlineStr">
        <is>
          <t>https://finance.yahoo.com/quote/COF</t>
        </is>
      </c>
      <c r="E19" t="inlineStr">
        <is>
          <t>Live Data; Trading Comps</t>
        </is>
      </c>
      <c r="F19" t="inlineStr">
        <is>
          <t>2026-05-20 03:20 UTC</t>
        </is>
      </c>
    </row>
    <row r="20">
      <c r="A20" s="3" t="inlineStr">
        <is>
          <t>CX Quarterly Consolidated Report 2025-9-30</t>
        </is>
      </c>
      <c r="B20" t="inlineStr">
        <is>
          <t>Internal</t>
        </is>
      </c>
      <c r="C20" t="inlineStr">
        <is>
          <t>Q3-25 LTM</t>
        </is>
      </c>
      <c r="D20" t="inlineStr">
        <is>
          <t>~/Downloads/CoverageX Data/</t>
        </is>
      </c>
      <c r="E20" t="inlineStr">
        <is>
          <t>2024A column refresh; LTM tie-out</t>
        </is>
      </c>
      <c r="F20" t="inlineStr">
        <is>
          <t>static</t>
        </is>
      </c>
    </row>
    <row r="21">
      <c r="A21" s="3" t="inlineStr">
        <is>
          <t>CNB Covenant Worksheet 12/31/2025</t>
        </is>
      </c>
      <c r="B21" t="inlineStr">
        <is>
          <t>Internal</t>
        </is>
      </c>
      <c r="C21" t="inlineStr">
        <is>
          <t>CNB-2025-12-31</t>
        </is>
      </c>
      <c r="D21" t="inlineStr">
        <is>
          <t>~/Downloads/CoverageX Data/</t>
        </is>
      </c>
      <c r="E21" t="inlineStr">
        <is>
          <t>Covenants tab tie-out</t>
        </is>
      </c>
      <c r="F21" t="inlineStr">
        <is>
          <t>static</t>
        </is>
      </c>
    </row>
    <row r="22">
      <c r="A22" s="3" t="inlineStr">
        <is>
          <t>CX Performance Analysis S2</t>
        </is>
      </c>
      <c r="B22" t="inlineStr">
        <is>
          <t>Internal</t>
        </is>
      </c>
      <c r="C22" t="inlineStr">
        <is>
          <t>Monthly 2025</t>
        </is>
      </c>
      <c r="D22" t="inlineStr">
        <is>
          <t>~/Downloads/CoverageX Data/</t>
        </is>
      </c>
      <c r="E22" t="inlineStr">
        <is>
          <t>Jan-Sep 2025 actuals refresh</t>
        </is>
      </c>
      <c r="F22" t="inlineStr">
        <is>
          <t>static</t>
        </is>
      </c>
    </row>
    <row r="23">
      <c r="A23" s="3" t="inlineStr">
        <is>
          <t>CX Programme Agreement v6 (Mepco)</t>
        </is>
      </c>
      <c r="B23" t="inlineStr">
        <is>
          <t>Legal</t>
        </is>
      </c>
      <c r="C23" t="inlineStr">
        <is>
          <t>07/12/2025</t>
        </is>
      </c>
      <c r="D23" t="inlineStr">
        <is>
          <t>~/Downloads/CoverageX Data/</t>
        </is>
      </c>
      <c r="E23" t="inlineStr">
        <is>
          <t>Mepco terms in Assumptions</t>
        </is>
      </c>
      <c r="F23" t="inlineStr">
        <is>
          <t>static</t>
        </is>
      </c>
    </row>
    <row r="24">
      <c r="A24" s="3" t="inlineStr">
        <is>
          <t>CNB Contract Insurance Endorsements (Add 2/3/4)</t>
        </is>
      </c>
      <c r="B24" t="inlineStr">
        <is>
          <t>Legal</t>
        </is>
      </c>
      <c r="C24" t="inlineStr">
        <is>
          <t>2023-2024</t>
        </is>
      </c>
      <c r="D24" t="inlineStr">
        <is>
          <t>~/Downloads/CoverageX Data/</t>
        </is>
      </c>
      <c r="E24" t="inlineStr">
        <is>
          <t>Insurance premium structure context</t>
        </is>
      </c>
      <c r="F24" t="inlineStr">
        <is>
          <t>static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/>
  </sheetPr>
  <dimension ref="A1:BT18"/>
  <sheetViews>
    <sheetView topLeftCell="C1" workbookViewId="0">
      <selection activeCell="A1" sqref="A1:H1"/>
    </sheetView>
  </sheetViews>
  <sheetFormatPr baseColWidth="10" defaultColWidth="8.83203125" defaultRowHeight="15"/>
  <cols>
    <col width="22" customWidth="1" style="50" min="1" max="1"/>
    <col width="8" customWidth="1" style="50" min="2" max="73"/>
  </cols>
  <sheetData>
    <row r="1" ht="24" customHeight="1" s="50">
      <c r="A1" s="95" t="inlineStr">
        <is>
          <t>Cancel Curves — Vintage Cohort Survival by Product</t>
        </is>
      </c>
    </row>
    <row r="2">
      <c r="A2" s="5" t="inlineStr">
        <is>
          <t>Source: V50 cancel curve + improvement factor from Assumptions!B23. Same curve applied to all 4 products in V50.</t>
        </is>
      </c>
    </row>
    <row r="4">
      <c r="A4" s="97" t="inlineStr">
        <is>
          <t>A. Cancel rates by month-since-origination (raw — pre-improvement)</t>
        </is>
      </c>
    </row>
    <row r="5">
      <c r="A5" s="1" t="inlineStr">
        <is>
          <t>Month #</t>
        </is>
      </c>
      <c r="B5" s="5" t="n">
        <v>1</v>
      </c>
      <c r="C5" s="5" t="n">
        <v>2</v>
      </c>
      <c r="D5" s="5" t="n">
        <v>3</v>
      </c>
      <c r="E5" s="5" t="n">
        <v>4</v>
      </c>
      <c r="F5" s="5" t="n">
        <v>5</v>
      </c>
      <c r="G5" s="5" t="n">
        <v>6</v>
      </c>
      <c r="H5" s="5" t="n">
        <v>7</v>
      </c>
      <c r="I5" s="5" t="n">
        <v>8</v>
      </c>
      <c r="J5" s="5" t="n">
        <v>9</v>
      </c>
      <c r="K5" s="5" t="n">
        <v>10</v>
      </c>
      <c r="L5" s="5" t="n">
        <v>11</v>
      </c>
      <c r="M5" s="5" t="n">
        <v>12</v>
      </c>
      <c r="N5" s="5" t="n">
        <v>13</v>
      </c>
      <c r="O5" s="5" t="n">
        <v>14</v>
      </c>
      <c r="P5" s="5" t="n">
        <v>15</v>
      </c>
      <c r="Q5" s="5" t="n">
        <v>16</v>
      </c>
      <c r="R5" s="5" t="n">
        <v>17</v>
      </c>
      <c r="S5" s="5" t="n">
        <v>18</v>
      </c>
      <c r="T5" s="5" t="n">
        <v>19</v>
      </c>
      <c r="U5" s="5" t="n">
        <v>20</v>
      </c>
      <c r="V5" s="5" t="n">
        <v>21</v>
      </c>
      <c r="W5" s="5" t="n">
        <v>22</v>
      </c>
      <c r="X5" s="5" t="n">
        <v>23</v>
      </c>
      <c r="Y5" s="5" t="n">
        <v>24</v>
      </c>
      <c r="Z5" s="5" t="n">
        <v>25</v>
      </c>
      <c r="AA5" s="5" t="n">
        <v>26</v>
      </c>
      <c r="AB5" s="5" t="n">
        <v>27</v>
      </c>
      <c r="AC5" s="5" t="n">
        <v>28</v>
      </c>
      <c r="AD5" s="5" t="n">
        <v>29</v>
      </c>
      <c r="AE5" s="5" t="n">
        <v>30</v>
      </c>
      <c r="AF5" s="5" t="n">
        <v>31</v>
      </c>
      <c r="AG5" s="5" t="n">
        <v>32</v>
      </c>
      <c r="AH5" s="5" t="n">
        <v>33</v>
      </c>
      <c r="AI5" s="5" t="n">
        <v>34</v>
      </c>
      <c r="AJ5" s="5" t="n">
        <v>35</v>
      </c>
      <c r="AK5" s="5" t="n">
        <v>36</v>
      </c>
      <c r="AL5" s="5" t="n">
        <v>37</v>
      </c>
      <c r="AM5" s="5" t="n">
        <v>38</v>
      </c>
      <c r="AN5" s="5" t="n">
        <v>39</v>
      </c>
      <c r="AO5" s="5" t="n">
        <v>40</v>
      </c>
      <c r="AP5" s="5" t="n">
        <v>41</v>
      </c>
      <c r="AQ5" s="5" t="n">
        <v>42</v>
      </c>
      <c r="AR5" s="5" t="n">
        <v>43</v>
      </c>
      <c r="AS5" s="5" t="n">
        <v>44</v>
      </c>
      <c r="AT5" s="5" t="n">
        <v>45</v>
      </c>
      <c r="AU5" s="5" t="n">
        <v>46</v>
      </c>
      <c r="AV5" s="5" t="n">
        <v>47</v>
      </c>
      <c r="AW5" s="5" t="n">
        <v>48</v>
      </c>
      <c r="AX5" s="5" t="n">
        <v>49</v>
      </c>
      <c r="AY5" s="5" t="n">
        <v>50</v>
      </c>
      <c r="AZ5" s="5" t="n">
        <v>51</v>
      </c>
      <c r="BA5" s="5" t="n">
        <v>52</v>
      </c>
      <c r="BB5" s="5" t="n">
        <v>53</v>
      </c>
      <c r="BC5" s="5" t="n">
        <v>54</v>
      </c>
      <c r="BD5" s="5" t="n">
        <v>55</v>
      </c>
      <c r="BE5" s="5" t="n">
        <v>56</v>
      </c>
      <c r="BF5" s="5" t="n">
        <v>57</v>
      </c>
      <c r="BG5" s="5" t="n">
        <v>58</v>
      </c>
      <c r="BH5" s="5" t="n">
        <v>59</v>
      </c>
      <c r="BI5" s="5" t="n">
        <v>60</v>
      </c>
      <c r="BJ5" s="5" t="n">
        <v>61</v>
      </c>
      <c r="BK5" s="5" t="n">
        <v>62</v>
      </c>
      <c r="BL5" s="5" t="n">
        <v>63</v>
      </c>
      <c r="BM5" s="5" t="n">
        <v>64</v>
      </c>
      <c r="BN5" s="5" t="n">
        <v>65</v>
      </c>
      <c r="BO5" s="5" t="n">
        <v>66</v>
      </c>
      <c r="BP5" s="5" t="n">
        <v>67</v>
      </c>
      <c r="BQ5" s="5" t="n">
        <v>68</v>
      </c>
      <c r="BR5" s="5" t="n">
        <v>69</v>
      </c>
      <c r="BS5" s="5" t="n">
        <v>70</v>
      </c>
      <c r="BT5" s="5" t="n">
        <v>71</v>
      </c>
    </row>
    <row r="6">
      <c r="A6" s="1" t="inlineStr">
        <is>
          <t>Cancel rate (raw)</t>
        </is>
      </c>
      <c r="B6" s="13" t="n">
        <v>0.28</v>
      </c>
      <c r="C6" s="13" t="n">
        <v>0.13</v>
      </c>
      <c r="D6" s="13" t="n">
        <v>0.1</v>
      </c>
      <c r="E6" s="13" t="n">
        <v>0.08</v>
      </c>
      <c r="F6" s="13" t="n">
        <v>0.07000000000000001</v>
      </c>
      <c r="G6" s="13" t="n">
        <v>0.06</v>
      </c>
      <c r="H6" s="13" t="n">
        <v>0.06</v>
      </c>
      <c r="I6" s="13" t="n">
        <v>0.05</v>
      </c>
      <c r="J6" s="13" t="n">
        <v>0.05</v>
      </c>
      <c r="K6" s="13" t="n">
        <v>0.05</v>
      </c>
      <c r="L6" s="13" t="n">
        <v>0.04</v>
      </c>
      <c r="M6" s="13" t="n">
        <v>0.04</v>
      </c>
      <c r="N6" s="13" t="n">
        <v>0.04</v>
      </c>
      <c r="O6" s="13" t="n">
        <v>0.03</v>
      </c>
      <c r="P6" s="13" t="n">
        <v>0.03</v>
      </c>
      <c r="Q6" s="13" t="n">
        <v>0.03</v>
      </c>
      <c r="R6" s="13" t="n">
        <v>0.02</v>
      </c>
      <c r="S6" s="13" t="n">
        <v>0.02</v>
      </c>
      <c r="T6" s="13" t="n">
        <v>0.02</v>
      </c>
      <c r="U6" s="13" t="n">
        <v>0.02</v>
      </c>
      <c r="V6" s="13" t="n">
        <v>0.02</v>
      </c>
      <c r="W6" s="13" t="n">
        <v>0.02</v>
      </c>
      <c r="X6" s="13" t="n">
        <v>0.02</v>
      </c>
      <c r="Y6" s="13" t="n">
        <v>0.01</v>
      </c>
      <c r="Z6" s="13" t="n">
        <v>0.01</v>
      </c>
      <c r="AA6" s="13" t="n">
        <v>0.01</v>
      </c>
      <c r="AB6" s="13" t="n">
        <v>0.01</v>
      </c>
      <c r="AC6" s="13" t="n">
        <v>0.01</v>
      </c>
      <c r="AD6" s="13" t="n">
        <v>0.01</v>
      </c>
      <c r="AE6" s="13" t="n">
        <v>1</v>
      </c>
      <c r="AF6" s="13" t="n">
        <v>1</v>
      </c>
      <c r="AG6" s="13" t="n">
        <v>1</v>
      </c>
      <c r="AH6" s="13" t="n">
        <v>1</v>
      </c>
      <c r="AI6" s="13" t="n">
        <v>1</v>
      </c>
      <c r="AJ6" s="13" t="n">
        <v>1</v>
      </c>
      <c r="AK6" s="13" t="n">
        <v>1</v>
      </c>
      <c r="AL6" s="13" t="n">
        <v>1</v>
      </c>
      <c r="AM6" s="13" t="n">
        <v>1</v>
      </c>
      <c r="AN6" s="13" t="n">
        <v>1</v>
      </c>
      <c r="AO6" s="13" t="n">
        <v>1</v>
      </c>
      <c r="AP6" s="13" t="n">
        <v>1</v>
      </c>
      <c r="AQ6" s="13" t="n">
        <v>1</v>
      </c>
      <c r="AR6" s="13" t="n">
        <v>1</v>
      </c>
      <c r="AS6" s="13" t="n">
        <v>1</v>
      </c>
      <c r="AT6" s="13" t="n">
        <v>1</v>
      </c>
      <c r="AU6" s="13" t="n">
        <v>1</v>
      </c>
      <c r="AV6" s="13" t="n">
        <v>1</v>
      </c>
      <c r="AW6" s="13" t="n">
        <v>1</v>
      </c>
      <c r="AX6" s="13" t="n">
        <v>1</v>
      </c>
      <c r="AY6" s="13" t="n">
        <v>1</v>
      </c>
      <c r="AZ6" s="13" t="n">
        <v>1</v>
      </c>
      <c r="BA6" s="13" t="n">
        <v>1</v>
      </c>
      <c r="BB6" s="13" t="n">
        <v>1</v>
      </c>
      <c r="BC6" s="13" t="n">
        <v>1</v>
      </c>
      <c r="BD6" s="13" t="n">
        <v>1</v>
      </c>
      <c r="BE6" s="13" t="n">
        <v>1</v>
      </c>
      <c r="BF6" s="13" t="n">
        <v>1</v>
      </c>
      <c r="BG6" s="13" t="n">
        <v>1</v>
      </c>
      <c r="BH6" s="13" t="n">
        <v>1</v>
      </c>
      <c r="BI6" s="13" t="n">
        <v>1</v>
      </c>
      <c r="BJ6" s="13" t="n">
        <v>1</v>
      </c>
      <c r="BK6" s="13" t="n">
        <v>1</v>
      </c>
      <c r="BL6" s="13" t="n">
        <v>1</v>
      </c>
      <c r="BM6" s="13" t="n">
        <v>1</v>
      </c>
      <c r="BN6" s="13" t="n">
        <v>1</v>
      </c>
      <c r="BO6" s="13" t="n">
        <v>1</v>
      </c>
      <c r="BP6" s="13" t="n">
        <v>1</v>
      </c>
      <c r="BQ6" s="13" t="n">
        <v>1</v>
      </c>
      <c r="BR6" s="13" t="n">
        <v>1</v>
      </c>
      <c r="BS6" s="13" t="n">
        <v>1</v>
      </c>
      <c r="BT6" s="13" t="n">
        <v>1</v>
      </c>
    </row>
    <row r="8">
      <c r="A8" s="97" t="inlineStr">
        <is>
          <t>B. Adjusted cancel rate (raw × (1 − improvement factor))</t>
        </is>
      </c>
    </row>
    <row r="9">
      <c r="A9" s="1" t="inlineStr">
        <is>
          <t>Adjusted cancel</t>
        </is>
      </c>
      <c r="B9" s="24">
        <f>B6*(1-Assumptions!$B$23)</f>
        <v/>
      </c>
      <c r="C9" s="24">
        <f>C6*(1-Assumptions!$B$23)</f>
        <v/>
      </c>
      <c r="D9" s="24">
        <f>D6*(1-Assumptions!$B$23)</f>
        <v/>
      </c>
      <c r="E9" s="24">
        <f>E6*(1-Assumptions!$B$23)</f>
        <v/>
      </c>
      <c r="F9" s="24">
        <f>F6*(1-Assumptions!$B$23)</f>
        <v/>
      </c>
      <c r="G9" s="24">
        <f>G6*(1-Assumptions!$B$23)</f>
        <v/>
      </c>
      <c r="H9" s="24">
        <f>H6*(1-Assumptions!$B$23)</f>
        <v/>
      </c>
      <c r="I9" s="24">
        <f>I6*(1-Assumptions!$B$23)</f>
        <v/>
      </c>
      <c r="J9" s="24">
        <f>J6*(1-Assumptions!$B$23)</f>
        <v/>
      </c>
      <c r="K9" s="24">
        <f>K6*(1-Assumptions!$B$23)</f>
        <v/>
      </c>
      <c r="L9" s="24">
        <f>L6*(1-Assumptions!$B$23)</f>
        <v/>
      </c>
      <c r="M9" s="24">
        <f>M6*(1-Assumptions!$B$23)</f>
        <v/>
      </c>
      <c r="N9" s="24">
        <f>N6*(1-Assumptions!$B$23)</f>
        <v/>
      </c>
      <c r="O9" s="24">
        <f>O6*(1-Assumptions!$B$23)</f>
        <v/>
      </c>
      <c r="P9" s="24">
        <f>P6*(1-Assumptions!$B$23)</f>
        <v/>
      </c>
      <c r="Q9" s="24">
        <f>Q6*(1-Assumptions!$B$23)</f>
        <v/>
      </c>
      <c r="R9" s="24">
        <f>R6*(1-Assumptions!$B$23)</f>
        <v/>
      </c>
      <c r="S9" s="24">
        <f>S6*(1-Assumptions!$B$23)</f>
        <v/>
      </c>
      <c r="T9" s="24">
        <f>T6*(1-Assumptions!$B$23)</f>
        <v/>
      </c>
      <c r="U9" s="24">
        <f>U6*(1-Assumptions!$B$23)</f>
        <v/>
      </c>
      <c r="V9" s="24">
        <f>V6*(1-Assumptions!$B$23)</f>
        <v/>
      </c>
      <c r="W9" s="24">
        <f>W6*(1-Assumptions!$B$23)</f>
        <v/>
      </c>
      <c r="X9" s="24">
        <f>X6*(1-Assumptions!$B$23)</f>
        <v/>
      </c>
      <c r="Y9" s="24">
        <f>Y6*(1-Assumptions!$B$23)</f>
        <v/>
      </c>
      <c r="Z9" s="24">
        <f>Z6*(1-Assumptions!$B$23)</f>
        <v/>
      </c>
      <c r="AA9" s="24">
        <f>AA6*(1-Assumptions!$B$23)</f>
        <v/>
      </c>
      <c r="AB9" s="24">
        <f>AB6*(1-Assumptions!$B$23)</f>
        <v/>
      </c>
      <c r="AC9" s="24">
        <f>AC6*(1-Assumptions!$B$23)</f>
        <v/>
      </c>
      <c r="AD9" s="24">
        <f>AD6*(1-Assumptions!$B$23)</f>
        <v/>
      </c>
      <c r="AE9" s="24">
        <f>AE6*(1-Assumptions!$B$23)</f>
        <v/>
      </c>
      <c r="AF9" s="24">
        <f>AF6*(1-Assumptions!$B$23)</f>
        <v/>
      </c>
      <c r="AG9" s="24">
        <f>AG6*(1-Assumptions!$B$23)</f>
        <v/>
      </c>
      <c r="AH9" s="24">
        <f>AH6*(1-Assumptions!$B$23)</f>
        <v/>
      </c>
      <c r="AI9" s="24">
        <f>AI6*(1-Assumptions!$B$23)</f>
        <v/>
      </c>
      <c r="AJ9" s="24">
        <f>AJ6*(1-Assumptions!$B$23)</f>
        <v/>
      </c>
      <c r="AK9" s="24">
        <f>AK6*(1-Assumptions!$B$23)</f>
        <v/>
      </c>
      <c r="AL9" s="24">
        <f>AL6*(1-Assumptions!$B$23)</f>
        <v/>
      </c>
      <c r="AM9" s="24">
        <f>AM6*(1-Assumptions!$B$23)</f>
        <v/>
      </c>
      <c r="AN9" s="24">
        <f>AN6*(1-Assumptions!$B$23)</f>
        <v/>
      </c>
      <c r="AO9" s="24">
        <f>AO6*(1-Assumptions!$B$23)</f>
        <v/>
      </c>
      <c r="AP9" s="24">
        <f>AP6*(1-Assumptions!$B$23)</f>
        <v/>
      </c>
      <c r="AQ9" s="24">
        <f>AQ6*(1-Assumptions!$B$23)</f>
        <v/>
      </c>
      <c r="AR9" s="24">
        <f>AR6*(1-Assumptions!$B$23)</f>
        <v/>
      </c>
      <c r="AS9" s="24">
        <f>AS6*(1-Assumptions!$B$23)</f>
        <v/>
      </c>
      <c r="AT9" s="24">
        <f>AT6*(1-Assumptions!$B$23)</f>
        <v/>
      </c>
      <c r="AU9" s="24">
        <f>AU6*(1-Assumptions!$B$23)</f>
        <v/>
      </c>
      <c r="AV9" s="24">
        <f>AV6*(1-Assumptions!$B$23)</f>
        <v/>
      </c>
      <c r="AW9" s="24">
        <f>AW6*(1-Assumptions!$B$23)</f>
        <v/>
      </c>
      <c r="AX9" s="24">
        <f>AX6*(1-Assumptions!$B$23)</f>
        <v/>
      </c>
      <c r="AY9" s="24">
        <f>AY6*(1-Assumptions!$B$23)</f>
        <v/>
      </c>
      <c r="AZ9" s="24">
        <f>AZ6*(1-Assumptions!$B$23)</f>
        <v/>
      </c>
      <c r="BA9" s="24">
        <f>BA6*(1-Assumptions!$B$23)</f>
        <v/>
      </c>
      <c r="BB9" s="24">
        <f>BB6*(1-Assumptions!$B$23)</f>
        <v/>
      </c>
      <c r="BC9" s="24">
        <f>BC6*(1-Assumptions!$B$23)</f>
        <v/>
      </c>
      <c r="BD9" s="24">
        <f>BD6*(1-Assumptions!$B$23)</f>
        <v/>
      </c>
      <c r="BE9" s="24">
        <f>BE6*(1-Assumptions!$B$23)</f>
        <v/>
      </c>
      <c r="BF9" s="24">
        <f>BF6*(1-Assumptions!$B$23)</f>
        <v/>
      </c>
      <c r="BG9" s="24">
        <f>BG6*(1-Assumptions!$B$23)</f>
        <v/>
      </c>
      <c r="BH9" s="24">
        <f>BH6*(1-Assumptions!$B$23)</f>
        <v/>
      </c>
      <c r="BI9" s="24">
        <f>BI6*(1-Assumptions!$B$23)</f>
        <v/>
      </c>
      <c r="BJ9" s="24">
        <f>BJ6*(1-Assumptions!$B$23)</f>
        <v/>
      </c>
      <c r="BK9" s="24">
        <f>BK6*(1-Assumptions!$B$23)</f>
        <v/>
      </c>
      <c r="BL9" s="24">
        <f>BL6*(1-Assumptions!$B$23)</f>
        <v/>
      </c>
      <c r="BM9" s="24">
        <f>BM6*(1-Assumptions!$B$23)</f>
        <v/>
      </c>
      <c r="BN9" s="24">
        <f>BN6*(1-Assumptions!$B$23)</f>
        <v/>
      </c>
      <c r="BO9" s="24">
        <f>BO6*(1-Assumptions!$B$23)</f>
        <v/>
      </c>
      <c r="BP9" s="24">
        <f>BP6*(1-Assumptions!$B$23)</f>
        <v/>
      </c>
      <c r="BQ9" s="24">
        <f>BQ6*(1-Assumptions!$B$23)</f>
        <v/>
      </c>
      <c r="BR9" s="24">
        <f>BR6*(1-Assumptions!$B$23)</f>
        <v/>
      </c>
      <c r="BS9" s="24">
        <f>BS6*(1-Assumptions!$B$23)</f>
        <v/>
      </c>
      <c r="BT9" s="24">
        <f>BT6*(1-Assumptions!$B$23)</f>
        <v/>
      </c>
    </row>
    <row r="11">
      <c r="A11" s="97" t="inlineStr">
        <is>
          <t>C. Survival rate (Π_{k=0..n} (1 - adjusted_k))</t>
        </is>
      </c>
    </row>
    <row r="12">
      <c r="A12" s="1" t="inlineStr">
        <is>
          <t>Survival</t>
        </is>
      </c>
      <c r="B12" s="24" t="n">
        <v>1</v>
      </c>
      <c r="C12" s="24">
        <f>B12*(1-B9)</f>
        <v/>
      </c>
      <c r="D12" s="24">
        <f>C12*(1-C9)</f>
        <v/>
      </c>
      <c r="E12" s="24">
        <f>D12*(1-D9)</f>
        <v/>
      </c>
      <c r="F12" s="24">
        <f>E12*(1-E9)</f>
        <v/>
      </c>
      <c r="G12" s="24">
        <f>F12*(1-F9)</f>
        <v/>
      </c>
      <c r="H12" s="24">
        <f>G12*(1-G9)</f>
        <v/>
      </c>
      <c r="I12" s="24">
        <f>H12*(1-H9)</f>
        <v/>
      </c>
      <c r="J12" s="24">
        <f>I12*(1-I9)</f>
        <v/>
      </c>
      <c r="K12" s="24">
        <f>J12*(1-J9)</f>
        <v/>
      </c>
      <c r="L12" s="24">
        <f>K12*(1-K9)</f>
        <v/>
      </c>
      <c r="M12" s="24">
        <f>L12*(1-L9)</f>
        <v/>
      </c>
      <c r="N12" s="24">
        <f>M12*(1-M9)</f>
        <v/>
      </c>
      <c r="O12" s="24">
        <f>N12*(1-N9)</f>
        <v/>
      </c>
      <c r="P12" s="24">
        <f>O12*(1-O9)</f>
        <v/>
      </c>
      <c r="Q12" s="24">
        <f>P12*(1-P9)</f>
        <v/>
      </c>
      <c r="R12" s="24">
        <f>Q12*(1-Q9)</f>
        <v/>
      </c>
      <c r="S12" s="24">
        <f>R12*(1-R9)</f>
        <v/>
      </c>
      <c r="T12" s="24">
        <f>S12*(1-S9)</f>
        <v/>
      </c>
      <c r="U12" s="24">
        <f>T12*(1-T9)</f>
        <v/>
      </c>
      <c r="V12" s="24">
        <f>U12*(1-U9)</f>
        <v/>
      </c>
      <c r="W12" s="24">
        <f>V12*(1-V9)</f>
        <v/>
      </c>
      <c r="X12" s="24">
        <f>W12*(1-W9)</f>
        <v/>
      </c>
      <c r="Y12" s="24">
        <f>X12*(1-X9)</f>
        <v/>
      </c>
      <c r="Z12" s="24">
        <f>Y12*(1-Y9)</f>
        <v/>
      </c>
      <c r="AA12" s="24">
        <f>Z12*(1-Z9)</f>
        <v/>
      </c>
      <c r="AB12" s="24">
        <f>AA12*(1-AA9)</f>
        <v/>
      </c>
      <c r="AC12" s="24">
        <f>AB12*(1-AB9)</f>
        <v/>
      </c>
      <c r="AD12" s="24">
        <f>AC12*(1-AC9)</f>
        <v/>
      </c>
      <c r="AE12" s="24">
        <f>AD12*(1-AD9)</f>
        <v/>
      </c>
      <c r="AF12" s="24">
        <f>AE12*(1-AE9)</f>
        <v/>
      </c>
      <c r="AG12" s="24">
        <f>AF12*(1-AF9)</f>
        <v/>
      </c>
      <c r="AH12" s="24">
        <f>AG12*(1-AG9)</f>
        <v/>
      </c>
      <c r="AI12" s="24">
        <f>AH12*(1-AH9)</f>
        <v/>
      </c>
      <c r="AJ12" s="24">
        <f>AI12*(1-AI9)</f>
        <v/>
      </c>
      <c r="AK12" s="24">
        <f>AJ12*(1-AJ9)</f>
        <v/>
      </c>
      <c r="AL12" s="24">
        <f>AK12*(1-AK9)</f>
        <v/>
      </c>
      <c r="AM12" s="24">
        <f>AL12*(1-AL9)</f>
        <v/>
      </c>
      <c r="AN12" s="24">
        <f>AM12*(1-AM9)</f>
        <v/>
      </c>
      <c r="AO12" s="24">
        <f>AN12*(1-AN9)</f>
        <v/>
      </c>
      <c r="AP12" s="24">
        <f>AO12*(1-AO9)</f>
        <v/>
      </c>
      <c r="AQ12" s="24">
        <f>AP12*(1-AP9)</f>
        <v/>
      </c>
      <c r="AR12" s="24">
        <f>AQ12*(1-AQ9)</f>
        <v/>
      </c>
      <c r="AS12" s="24">
        <f>AR12*(1-AR9)</f>
        <v/>
      </c>
      <c r="AT12" s="24">
        <f>AS12*(1-AS9)</f>
        <v/>
      </c>
      <c r="AU12" s="24">
        <f>AT12*(1-AT9)</f>
        <v/>
      </c>
      <c r="AV12" s="24">
        <f>AU12*(1-AU9)</f>
        <v/>
      </c>
      <c r="AW12" s="24">
        <f>AV12*(1-AV9)</f>
        <v/>
      </c>
      <c r="AX12" s="24">
        <f>AW12*(1-AW9)</f>
        <v/>
      </c>
      <c r="AY12" s="24">
        <f>AX12*(1-AX9)</f>
        <v/>
      </c>
      <c r="AZ12" s="24">
        <f>AY12*(1-AY9)</f>
        <v/>
      </c>
      <c r="BA12" s="24">
        <f>AZ12*(1-AZ9)</f>
        <v/>
      </c>
      <c r="BB12" s="24">
        <f>BA12*(1-BA9)</f>
        <v/>
      </c>
      <c r="BC12" s="24">
        <f>BB12*(1-BB9)</f>
        <v/>
      </c>
      <c r="BD12" s="24">
        <f>BC12*(1-BC9)</f>
        <v/>
      </c>
      <c r="BE12" s="24">
        <f>BD12*(1-BD9)</f>
        <v/>
      </c>
      <c r="BF12" s="24">
        <f>BE12*(1-BE9)</f>
        <v/>
      </c>
      <c r="BG12" s="24">
        <f>BF12*(1-BF9)</f>
        <v/>
      </c>
      <c r="BH12" s="24">
        <f>BG12*(1-BG9)</f>
        <v/>
      </c>
      <c r="BI12" s="24">
        <f>BH12*(1-BH9)</f>
        <v/>
      </c>
      <c r="BJ12" s="24">
        <f>BI12*(1-BI9)</f>
        <v/>
      </c>
      <c r="BK12" s="24">
        <f>BJ12*(1-BJ9)</f>
        <v/>
      </c>
      <c r="BL12" s="24">
        <f>BK12*(1-BK9)</f>
        <v/>
      </c>
      <c r="BM12" s="24">
        <f>BL12*(1-BL9)</f>
        <v/>
      </c>
      <c r="BN12" s="24">
        <f>BM12*(1-BM9)</f>
        <v/>
      </c>
      <c r="BO12" s="24">
        <f>BN12*(1-BN9)</f>
        <v/>
      </c>
      <c r="BP12" s="24">
        <f>BO12*(1-BO9)</f>
        <v/>
      </c>
      <c r="BQ12" s="24">
        <f>BP12*(1-BP9)</f>
        <v/>
      </c>
      <c r="BR12" s="24">
        <f>BQ12*(1-BQ9)</f>
        <v/>
      </c>
      <c r="BS12" s="24">
        <f>BR12*(1-BR9)</f>
        <v/>
      </c>
      <c r="BT12" s="24">
        <f>BS12*(1-BS9)</f>
        <v/>
      </c>
    </row>
    <row r="14">
      <c r="A14" s="1" t="inlineStr">
        <is>
          <t>Avg months/contract</t>
        </is>
      </c>
      <c r="B14" s="25">
        <f>SUM(B12:BT12)</f>
        <v/>
      </c>
    </row>
    <row r="16">
      <c r="A16" s="5" t="inlineStr">
        <is>
          <t>Curve length: 71 months. Month 30+ = full cancel per V50.</t>
        </is>
      </c>
    </row>
    <row r="17">
      <c r="A17" s="5" t="inlineStr">
        <is>
          <t>Survival vector is referenced by all 4 product engines (CX/ASD/Home/Producer).</t>
        </is>
      </c>
    </row>
    <row r="18">
      <c r="A18" s="5" t="inlineStr">
        <is>
          <t>V50 applied one shared curve to all products. V51 preserves this behavior.</t>
        </is>
      </c>
    </row>
  </sheetData>
  <mergeCells count="4">
    <mergeCell ref="A11:J11"/>
    <mergeCell ref="A4:J4"/>
    <mergeCell ref="A8:J8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/>
  </sheetPr>
  <dimension ref="A1:CD33"/>
  <sheetViews>
    <sheetView tabSelected="1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8" customWidth="1" style="50" min="1" max="1"/>
    <col width="3" customWidth="1" style="50" min="2" max="2"/>
    <col width="10" customWidth="1" style="50" min="3" max="3"/>
    <col width="11" customWidth="1" style="50" min="4" max="75"/>
    <col width="13" customWidth="1" style="50" min="77" max="82"/>
  </cols>
  <sheetData>
    <row r="1" ht="24" customHeight="1" s="50">
      <c r="A1" s="95" t="inlineStr">
        <is>
          <t>CX Retail VSC — Engine (Vintage Cohort Survival)</t>
        </is>
      </c>
    </row>
    <row r="2">
      <c r="A2" s="5" t="inlineStr">
        <is>
          <t>Monthly originations × shared cancel curve. CPS (customer payment per service) = $100.0/mo.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New contracts originated</t>
        </is>
      </c>
      <c r="D5" s="15" t="n">
        <v>959</v>
      </c>
      <c r="E5" s="15" t="n">
        <v>806</v>
      </c>
      <c r="F5" s="15" t="n">
        <v>1103</v>
      </c>
      <c r="G5" s="15" t="n">
        <v>1857</v>
      </c>
      <c r="H5" s="15" t="n">
        <v>2500</v>
      </c>
      <c r="I5" s="15" t="n">
        <v>2500</v>
      </c>
      <c r="J5" s="15" t="n">
        <v>2500</v>
      </c>
      <c r="K5" s="15" t="n">
        <v>2500</v>
      </c>
      <c r="L5" s="15" t="n">
        <v>2400</v>
      </c>
      <c r="M5" s="15" t="n">
        <v>2500</v>
      </c>
      <c r="N5" s="15" t="n">
        <v>2750</v>
      </c>
      <c r="O5" s="15" t="n">
        <v>3000</v>
      </c>
      <c r="P5" s="15" t="n">
        <v>3500</v>
      </c>
      <c r="Q5" s="15" t="n">
        <v>4000</v>
      </c>
      <c r="R5" s="15" t="n">
        <v>4500</v>
      </c>
      <c r="S5" s="15" t="n">
        <v>5000</v>
      </c>
      <c r="T5" s="15" t="n">
        <v>5500</v>
      </c>
      <c r="U5" s="15" t="n">
        <v>6000</v>
      </c>
      <c r="V5" s="15" t="n">
        <v>6500</v>
      </c>
      <c r="W5" s="15" t="n">
        <v>7000</v>
      </c>
      <c r="X5" s="15" t="n">
        <v>7500</v>
      </c>
      <c r="Y5" s="15" t="n">
        <v>8000</v>
      </c>
      <c r="Z5" s="15" t="n">
        <v>8500</v>
      </c>
      <c r="AA5" s="15" t="n">
        <v>9000</v>
      </c>
      <c r="AB5" s="15" t="n">
        <v>9250</v>
      </c>
      <c r="AC5" s="15" t="n">
        <v>9500</v>
      </c>
      <c r="AD5" s="15" t="n">
        <v>9750</v>
      </c>
      <c r="AE5" s="15" t="n">
        <v>10000</v>
      </c>
      <c r="AF5" s="15" t="n">
        <v>10250</v>
      </c>
      <c r="AG5" s="15" t="n">
        <v>10500</v>
      </c>
      <c r="AH5" s="15" t="n">
        <v>10750</v>
      </c>
      <c r="AI5" s="15" t="n">
        <v>11000</v>
      </c>
      <c r="AJ5" s="15" t="n">
        <v>11250</v>
      </c>
      <c r="AK5" s="15" t="n">
        <v>11500</v>
      </c>
      <c r="AL5" s="15" t="n">
        <v>11750</v>
      </c>
      <c r="AM5" s="15" t="n">
        <v>12000</v>
      </c>
      <c r="AN5" s="15" t="n">
        <v>12250</v>
      </c>
      <c r="AO5" s="15" t="n">
        <v>12500</v>
      </c>
      <c r="AP5" s="15" t="n">
        <v>12750</v>
      </c>
      <c r="AQ5" s="15" t="n">
        <v>13000</v>
      </c>
      <c r="AR5" s="15" t="n">
        <v>13250</v>
      </c>
      <c r="AS5" s="15" t="n">
        <v>13500</v>
      </c>
      <c r="AT5" s="15" t="n">
        <v>13750</v>
      </c>
      <c r="AU5" s="15" t="n">
        <v>14000</v>
      </c>
      <c r="AV5" s="15" t="n">
        <v>14250</v>
      </c>
      <c r="AW5" s="15" t="n">
        <v>14500</v>
      </c>
      <c r="AX5" s="15" t="n">
        <v>14750</v>
      </c>
      <c r="AY5" s="15" t="n">
        <v>15000</v>
      </c>
      <c r="AZ5" s="15" t="n">
        <v>15250</v>
      </c>
      <c r="BA5" s="15" t="n">
        <v>15500</v>
      </c>
      <c r="BB5" s="15" t="n">
        <v>15750</v>
      </c>
      <c r="BC5" s="15" t="n">
        <v>16000</v>
      </c>
      <c r="BD5" s="15" t="n">
        <v>16250</v>
      </c>
      <c r="BE5" s="15" t="n">
        <v>16500</v>
      </c>
      <c r="BF5" s="15" t="n">
        <v>16750</v>
      </c>
      <c r="BG5" s="15" t="n">
        <v>17000</v>
      </c>
      <c r="BH5" s="15" t="n">
        <v>17250</v>
      </c>
      <c r="BI5" s="15" t="n">
        <v>17500</v>
      </c>
      <c r="BJ5" s="15" t="n">
        <v>17750</v>
      </c>
      <c r="BK5" s="15" t="n">
        <v>18000</v>
      </c>
      <c r="BL5" s="15" t="n">
        <v>18250</v>
      </c>
      <c r="BM5" s="15" t="n">
        <v>18500</v>
      </c>
      <c r="BN5" s="15" t="n">
        <v>18750</v>
      </c>
      <c r="BO5" s="15" t="n">
        <v>19000</v>
      </c>
      <c r="BP5" s="15" t="n">
        <v>19250</v>
      </c>
      <c r="BQ5" s="15" t="n">
        <v>19500</v>
      </c>
      <c r="BR5" s="15" t="n">
        <v>19750</v>
      </c>
      <c r="BS5" s="15" t="n">
        <v>20000</v>
      </c>
      <c r="BT5" s="15" t="n">
        <v>20250</v>
      </c>
      <c r="BU5" s="15" t="n">
        <v>20500</v>
      </c>
      <c r="BV5" s="15" t="n">
        <v>20750</v>
      </c>
      <c r="BW5" s="15" t="n">
        <v>21000</v>
      </c>
    </row>
    <row r="6">
      <c r="A6" s="1" t="inlineStr">
        <is>
          <t>Active contracts (vintage-weighted)</t>
        </is>
      </c>
      <c r="C6" s="26">
        <f>C7</f>
        <v/>
      </c>
      <c r="D6" s="26">
        <f>$D5*'Cancel Curves'!$B$12 + 2223.0342</f>
        <v/>
      </c>
      <c r="E6" s="26">
        <f>$D5*'Cancel Curves'!$C$12 + $E5*'Cancel Curves'!$B$12 + 2077.6668</f>
        <v/>
      </c>
      <c r="F6" s="26">
        <f>$D5*'Cancel Curves'!$D$12 + $E5*'Cancel Curves'!$C$12 + $F5*'Cancel Curves'!$B$12 + 1964.4647</f>
        <v/>
      </c>
      <c r="G6" s="26">
        <f>$D5*'Cancel Curves'!$E$12 + $E5*'Cancel Curves'!$D$12 + $F5*'Cancel Curves'!$C$12 + $G5*'Cancel Curves'!$B$12 + 1871.0865</f>
        <v/>
      </c>
      <c r="H6" s="26">
        <f>$D5*'Cancel Curves'!$F$12 + $E5*'Cancel Curves'!$E$12 + $F5*'Cancel Curves'!$D$12 + $G5*'Cancel Curves'!$C$12 + $H5*'Cancel Curves'!$B$12 + 1790.6773</f>
        <v/>
      </c>
      <c r="I6" s="26">
        <f>$D5*'Cancel Curves'!$G$12 + $E5*'Cancel Curves'!$F$12 + $F5*'Cancel Curves'!$E$12 + $G5*'Cancel Curves'!$D$12 + $H5*'Cancel Curves'!$C$12 + $I5*'Cancel Curves'!$B$12 + 1720.6687</f>
        <v/>
      </c>
      <c r="J6" s="26">
        <f>$D5*'Cancel Curves'!$H$12 + $E5*'Cancel Curves'!$G$12 + $F5*'Cancel Curves'!$F$12 + $G5*'Cancel Curves'!$E$12 + $H5*'Cancel Curves'!$D$12 + $I5*'Cancel Curves'!$C$12 + $J5*'Cancel Curves'!$B$12 + 1657.9772</f>
        <v/>
      </c>
      <c r="K6" s="26">
        <f>$D5*'Cancel Curves'!$I$12 + $E5*'Cancel Curves'!$H$12 + $F5*'Cancel Curves'!$G$12 + $G5*'Cancel Curves'!$F$12 + $H5*'Cancel Curves'!$E$12 + $I5*'Cancel Curves'!$D$12 + $J5*'Cancel Curves'!$C$12 + $K5*'Cancel Curves'!$B$12 + 1603.1434</f>
        <v/>
      </c>
      <c r="L6" s="26">
        <f>$D5*'Cancel Curves'!$J$12 + $E5*'Cancel Curves'!$I$12 + $F5*'Cancel Curves'!$H$12 + $G5*'Cancel Curves'!$G$12 + $H5*'Cancel Curves'!$F$12 + $I5*'Cancel Curves'!$E$12 + $J5*'Cancel Curves'!$D$12 + $K5*'Cancel Curves'!$C$12 + $L5*'Cancel Curves'!$B$12 + 1555.0072</f>
        <v/>
      </c>
      <c r="M6" s="26">
        <f>$D5*'Cancel Curves'!$K$12 + $E5*'Cancel Curves'!$J$12 + $F5*'Cancel Curves'!$I$12 + $G5*'Cancel Curves'!$H$12 + $H5*'Cancel Curves'!$G$12 + $I5*'Cancel Curves'!$F$12 + $J5*'Cancel Curves'!$E$12 + $K5*'Cancel Curves'!$D$12 + $L5*'Cancel Curves'!$C$12 + $M5*'Cancel Curves'!$B$12 + 1513.8620</f>
        <v/>
      </c>
      <c r="N6" s="26">
        <f>$D5*'Cancel Curves'!$L$12 + $E5*'Cancel Curves'!$K$12 + $F5*'Cancel Curves'!$J$12 + $G5*'Cancel Curves'!$I$12 + $H5*'Cancel Curves'!$H$12 + $I5*'Cancel Curves'!$G$12 + $J5*'Cancel Curves'!$F$12 + $K5*'Cancel Curves'!$E$12 + $L5*'Cancel Curves'!$D$12 + $M5*'Cancel Curves'!$C$12 + $N5*'Cancel Curves'!$B$12 + 1479.8521</f>
        <v/>
      </c>
      <c r="O6" s="26">
        <f>$D5*'Cancel Curves'!$M$12 + $E5*'Cancel Curves'!$L$12 + $F5*'Cancel Curves'!$K$12 + $G5*'Cancel Curves'!$J$12 + $H5*'Cancel Curves'!$I$12 + $I5*'Cancel Curves'!$H$12 + $J5*'Cancel Curves'!$G$12 + $K5*'Cancel Curves'!$F$12 + $L5*'Cancel Curves'!$E$12 + $M5*'Cancel Curves'!$D$12 + $N5*'Cancel Curves'!$C$12 + $O5*'Cancel Curves'!$B$12 + 1451.3929</f>
        <v/>
      </c>
      <c r="P6" s="26">
        <f>$D5*'Cancel Curves'!$N$12 + $E5*'Cancel Curves'!$M$12 + $F5*'Cancel Curves'!$L$12 + $G5*'Cancel Curves'!$K$12 + $H5*'Cancel Curves'!$J$12 + $I5*'Cancel Curves'!$I$12 + $J5*'Cancel Curves'!$H$12 + $K5*'Cancel Curves'!$G$12 + $L5*'Cancel Curves'!$F$12 + $M5*'Cancel Curves'!$E$12 + $N5*'Cancel Curves'!$D$12 + $O5*'Cancel Curves'!$C$12 + $P5*'Cancel Curves'!$B$12 + 1420.2274</f>
        <v/>
      </c>
      <c r="Q6" s="26">
        <f>$D5*'Cancel Curves'!$O$12 + $E5*'Cancel Curves'!$N$12 + $F5*'Cancel Curves'!$M$12 + $G5*'Cancel Curves'!$L$12 + $H5*'Cancel Curves'!$K$12 + $I5*'Cancel Curves'!$J$12 + $J5*'Cancel Curves'!$I$12 + $K5*'Cancel Curves'!$H$12 + $L5*'Cancel Curves'!$G$12 + $M5*'Cancel Curves'!$F$12 + $N5*'Cancel Curves'!$E$12 + $O5*'Cancel Curves'!$D$12 + $P5*'Cancel Curves'!$C$12 + $Q5*'Cancel Curves'!$B$12 + 1380.2485</f>
        <v/>
      </c>
      <c r="R6" s="26">
        <f>$D5*'Cancel Curves'!$P$12 + $E5*'Cancel Curves'!$O$12 + $F5*'Cancel Curves'!$N$12 + $G5*'Cancel Curves'!$M$12 + $H5*'Cancel Curves'!$L$12 + $I5*'Cancel Curves'!$K$12 + $J5*'Cancel Curves'!$J$12 + $K5*'Cancel Curves'!$I$12 + $L5*'Cancel Curves'!$H$12 + $M5*'Cancel Curves'!$G$12 + $N5*'Cancel Curves'!$F$12 + $O5*'Cancel Curves'!$E$12 + $P5*'Cancel Curves'!$D$12 + $Q5*'Cancel Curves'!$C$12 + $R5*'Cancel Curves'!$B$12 + 1302.7632</f>
        <v/>
      </c>
      <c r="S6" s="26">
        <f>$D5*'Cancel Curves'!$Q$12 + $E5*'Cancel Curves'!$P$12 + $F5*'Cancel Curves'!$O$12 + $G5*'Cancel Curves'!$N$12 + $H5*'Cancel Curves'!$M$12 + $I5*'Cancel Curves'!$L$12 + $J5*'Cancel Curves'!$K$12 + $K5*'Cancel Curves'!$J$12 + $L5*'Cancel Curves'!$I$12 + $M5*'Cancel Curves'!$H$12 + $N5*'Cancel Curves'!$G$12 + $O5*'Cancel Curves'!$F$12 + $P5*'Cancel Curves'!$E$12 + $Q5*'Cancel Curves'!$D$12 + $R5*'Cancel Curves'!$C$12 + $S5*'Cancel Curves'!$B$12 + 1194.8703</f>
        <v/>
      </c>
      <c r="T6" s="26">
        <f>$D5*'Cancel Curves'!$R$12 + $E5*'Cancel Curves'!$Q$12 + $F5*'Cancel Curves'!$P$12 + $G5*'Cancel Curves'!$O$12 + $H5*'Cancel Curves'!$N$12 + $I5*'Cancel Curves'!$M$12 + $J5*'Cancel Curves'!$L$12 + $K5*'Cancel Curves'!$K$12 + $L5*'Cancel Curves'!$J$12 + $M5*'Cancel Curves'!$I$12 + $N5*'Cancel Curves'!$H$12 + $O5*'Cancel Curves'!$G$12 + $P5*'Cancel Curves'!$F$12 + $Q5*'Cancel Curves'!$E$12 + $R5*'Cancel Curves'!$D$12 + $S5*'Cancel Curves'!$C$12 + $T5*'Cancel Curves'!$B$12 + 1083.5441</f>
        <v/>
      </c>
      <c r="U6" s="26">
        <f>$D5*'Cancel Curves'!$S$12 + $E5*'Cancel Curves'!$R$12 + $F5*'Cancel Curves'!$Q$12 + $G5*'Cancel Curves'!$P$12 + $H5*'Cancel Curves'!$O$12 + $I5*'Cancel Curves'!$N$12 + $J5*'Cancel Curves'!$M$12 + $K5*'Cancel Curves'!$L$12 + $L5*'Cancel Curves'!$K$12 + $M5*'Cancel Curves'!$J$12 + $N5*'Cancel Curves'!$I$12 + $O5*'Cancel Curves'!$H$12 + $P5*'Cancel Curves'!$G$12 + $Q5*'Cancel Curves'!$F$12 + $R5*'Cancel Curves'!$E$12 + $S5*'Cancel Curves'!$D$12 + $T5*'Cancel Curves'!$C$12 + $U5*'Cancel Curves'!$B$12 + 968.4575</f>
        <v/>
      </c>
      <c r="V6" s="26">
        <f>$D5*'Cancel Curves'!$T$12 + $E5*'Cancel Curves'!$S$12 + $F5*'Cancel Curves'!$R$12 + $G5*'Cancel Curves'!$Q$12 + $H5*'Cancel Curves'!$P$12 + $I5*'Cancel Curves'!$O$12 + $J5*'Cancel Curves'!$N$12 + $K5*'Cancel Curves'!$M$12 + $L5*'Cancel Curves'!$L$12 + $M5*'Cancel Curves'!$K$12 + $N5*'Cancel Curves'!$J$12 + $O5*'Cancel Curves'!$I$12 + $P5*'Cancel Curves'!$H$12 + $Q5*'Cancel Curves'!$G$12 + $R5*'Cancel Curves'!$F$12 + $S5*'Cancel Curves'!$E$12 + $T5*'Cancel Curves'!$D$12 + $U5*'Cancel Curves'!$C$12 + $V5*'Cancel Curves'!$B$12 + 857.1319</f>
        <v/>
      </c>
      <c r="W6" s="26">
        <f>$D5*'Cancel Curves'!$U$12 + $E5*'Cancel Curves'!$T$12 + $F5*'Cancel Curves'!$S$12 + $G5*'Cancel Curves'!$R$12 + $H5*'Cancel Curves'!$Q$12 + $I5*'Cancel Curves'!$P$12 + $J5*'Cancel Curves'!$O$12 + $K5*'Cancel Curves'!$N$12 + $L5*'Cancel Curves'!$M$12 + $M5*'Cancel Curves'!$L$12 + $N5*'Cancel Curves'!$K$12 + $O5*'Cancel Curves'!$J$12 + $P5*'Cancel Curves'!$I$12 + $Q5*'Cancel Curves'!$H$12 + $R5*'Cancel Curves'!$G$12 + $S5*'Cancel Curves'!$F$12 + $T5*'Cancel Curves'!$E$12 + $U5*'Cancel Curves'!$D$12 + $V5*'Cancel Curves'!$C$12 + $W5*'Cancel Curves'!$B$12 + 757.4654</f>
        <v/>
      </c>
      <c r="X6" s="26">
        <f>$D5*'Cancel Curves'!$V$12 + $E5*'Cancel Curves'!$U$12 + $F5*'Cancel Curves'!$T$12 + $G5*'Cancel Curves'!$S$12 + $H5*'Cancel Curves'!$R$12 + $I5*'Cancel Curves'!$Q$12 + $J5*'Cancel Curves'!$P$12 + $K5*'Cancel Curves'!$O$12 + $L5*'Cancel Curves'!$N$12 + $M5*'Cancel Curves'!$M$12 + $N5*'Cancel Curves'!$L$12 + $O5*'Cancel Curves'!$K$12 + $P5*'Cancel Curves'!$J$12 + $Q5*'Cancel Curves'!$I$12 + $R5*'Cancel Curves'!$H$12 + $S5*'Cancel Curves'!$G$12 + $T5*'Cancel Curves'!$F$12 + $U5*'Cancel Curves'!$E$12 + $V5*'Cancel Curves'!$D$12 + $W5*'Cancel Curves'!$C$12 + $X5*'Cancel Curves'!$B$12 + 625.8304</f>
        <v/>
      </c>
      <c r="Y6" s="26">
        <f>$D5*'Cancel Curves'!$W$12 + $E5*'Cancel Curves'!$V$12 + $F5*'Cancel Curves'!$U$12 + $G5*'Cancel Curves'!$T$12 + $H5*'Cancel Curves'!$S$12 + $I5*'Cancel Curves'!$R$12 + $J5*'Cancel Curves'!$Q$12 + $K5*'Cancel Curves'!$P$12 + $L5*'Cancel Curves'!$O$12 + $M5*'Cancel Curves'!$N$12 + $N5*'Cancel Curves'!$M$12 + $O5*'Cancel Curves'!$L$12 + $P5*'Cancel Curves'!$K$12 + $Q5*'Cancel Curves'!$J$12 + $R5*'Cancel Curves'!$I$12 + $S5*'Cancel Curves'!$H$12 + $T5*'Cancel Curves'!$G$12 + $U5*'Cancel Curves'!$F$12 + $V5*'Cancel Curves'!$E$12 + $W5*'Cancel Curves'!$D$12 + $X5*'Cancel Curves'!$C$12 + $Y5*'Cancel Curves'!$B$12 + 417.4710</f>
        <v/>
      </c>
      <c r="Z6" s="26">
        <f>$D5*'Cancel Curves'!$X$12 + $E5*'Cancel Curves'!$W$12 + $F5*'Cancel Curves'!$V$12 + $G5*'Cancel Curves'!$U$12 + $H5*'Cancel Curves'!$T$12 + $I5*'Cancel Curves'!$S$12 + $J5*'Cancel Curves'!$R$12 + $K5*'Cancel Curves'!$Q$12 + $L5*'Cancel Curves'!$P$12 + $M5*'Cancel Curves'!$O$12 + $N5*'Cancel Curves'!$N$12 + $O5*'Cancel Curves'!$M$12 + $P5*'Cancel Curves'!$L$12 + $Q5*'Cancel Curves'!$K$12 + $R5*'Cancel Curves'!$J$12 + $S5*'Cancel Curves'!$I$12 + $T5*'Cancel Curves'!$H$12 + $U5*'Cancel Curves'!$G$12 + $V5*'Cancel Curves'!$F$12 + $W5*'Cancel Curves'!$E$12 + $X5*'Cancel Curves'!$D$12 + $Y5*'Cancel Curves'!$C$12 + $Z5*'Cancel Curves'!$B$12 + 208.7355</f>
        <v/>
      </c>
      <c r="AA6" s="26">
        <f>$D5*'Cancel Curves'!$Y$12 + $E5*'Cancel Curves'!$X$12 + $F5*'Cancel Curves'!$W$12 + $G5*'Cancel Curves'!$V$12 + $H5*'Cancel Curves'!$U$12 + $I5*'Cancel Curves'!$T$12 + $J5*'Cancel Curves'!$S$12 + $K5*'Cancel Curves'!$R$12 + $L5*'Cancel Curves'!$Q$12 + $M5*'Cancel Curves'!$P$12 + $N5*'Cancel Curves'!$O$12 + $O5*'Cancel Curves'!$N$12 + $P5*'Cancel Curves'!$M$12 + $Q5*'Cancel Curves'!$L$12 + $R5*'Cancel Curves'!$K$12 + $S5*'Cancel Curves'!$J$12 + $T5*'Cancel Curves'!$I$12 + $U5*'Cancel Curves'!$H$12 + $V5*'Cancel Curves'!$G$12 + $W5*'Cancel Curves'!$F$12 + $X5*'Cancel Curves'!$E$12 + $Y5*'Cancel Curves'!$D$12 + $Z5*'Cancel Curves'!$C$12 + $AA5*'Cancel Curves'!$B$12</f>
        <v/>
      </c>
      <c r="AB6" s="26">
        <f>$D5*'Cancel Curves'!$Z$12 + $E5*'Cancel Curves'!$Y$12 + $F5*'Cancel Curves'!$X$12 + $G5*'Cancel Curves'!$W$12 + $H5*'Cancel Curves'!$V$12 + $I5*'Cancel Curves'!$U$12 + $J5*'Cancel Curves'!$T$12 + $K5*'Cancel Curves'!$S$12 + $L5*'Cancel Curves'!$R$12 + $M5*'Cancel Curves'!$Q$12 + $N5*'Cancel Curves'!$P$12 + $O5*'Cancel Curves'!$O$12 + $P5*'Cancel Curves'!$N$12 + $Q5*'Cancel Curves'!$M$12 + $R5*'Cancel Curves'!$L$12 + $S5*'Cancel Curves'!$K$12 + $T5*'Cancel Curves'!$J$12 + $U5*'Cancel Curves'!$I$12 + $V5*'Cancel Curves'!$H$12 + $W5*'Cancel Curves'!$G$12 + $X5*'Cancel Curves'!$F$12 + $Y5*'Cancel Curves'!$E$12 + $Z5*'Cancel Curves'!$D$12 + $AA5*'Cancel Curves'!$C$12 + $AB5*'Cancel Curves'!$B$12</f>
        <v/>
      </c>
      <c r="AC6" s="26">
        <f>$D5*'Cancel Curves'!$AA$12 + $E5*'Cancel Curves'!$Z$12 + $F5*'Cancel Curves'!$Y$12 + $G5*'Cancel Curves'!$X$12 + $H5*'Cancel Curves'!$W$12 + $I5*'Cancel Curves'!$V$12 + $J5*'Cancel Curves'!$U$12 + $K5*'Cancel Curves'!$T$12 + $L5*'Cancel Curves'!$S$12 + $M5*'Cancel Curves'!$R$12 + $N5*'Cancel Curves'!$Q$12 + $O5*'Cancel Curves'!$P$12 + $P5*'Cancel Curves'!$O$12 + $Q5*'Cancel Curves'!$N$12 + $R5*'Cancel Curves'!$M$12 + $S5*'Cancel Curves'!$L$12 + $T5*'Cancel Curves'!$K$12 + $U5*'Cancel Curves'!$J$12 + $V5*'Cancel Curves'!$I$12 + $W5*'Cancel Curves'!$H$12 + $X5*'Cancel Curves'!$G$12 + $Y5*'Cancel Curves'!$F$12 + $Z5*'Cancel Curves'!$E$12 + $AA5*'Cancel Curves'!$D$12 + $AB5*'Cancel Curves'!$C$12 + $AC5*'Cancel Curves'!$B$12</f>
        <v/>
      </c>
      <c r="AD6" s="26">
        <f>$D5*'Cancel Curves'!$AB$12 + $E5*'Cancel Curves'!$AA$12 + $F5*'Cancel Curves'!$Z$12 + $G5*'Cancel Curves'!$Y$12 + $H5*'Cancel Curves'!$X$12 + $I5*'Cancel Curves'!$W$12 + $J5*'Cancel Curves'!$V$12 + $K5*'Cancel Curves'!$U$12 + $L5*'Cancel Curves'!$T$12 + $M5*'Cancel Curves'!$S$12 + $N5*'Cancel Curves'!$R$12 + $O5*'Cancel Curves'!$Q$12 + $P5*'Cancel Curves'!$P$12 + $Q5*'Cancel Curves'!$O$12 + $R5*'Cancel Curves'!$N$12 + $S5*'Cancel Curves'!$M$12 + $T5*'Cancel Curves'!$L$12 + $U5*'Cancel Curves'!$K$12 + $V5*'Cancel Curves'!$J$12 + $W5*'Cancel Curves'!$I$12 + $X5*'Cancel Curves'!$H$12 + $Y5*'Cancel Curves'!$G$12 + $Z5*'Cancel Curves'!$F$12 + $AA5*'Cancel Curves'!$E$12 + $AB5*'Cancel Curves'!$D$12 + $AC5*'Cancel Curves'!$C$12 + $AD5*'Cancel Curves'!$B$12</f>
        <v/>
      </c>
      <c r="AE6" s="26">
        <f>$D5*'Cancel Curves'!$AC$12 + $E5*'Cancel Curves'!$AB$12 + $F5*'Cancel Curves'!$AA$12 + $G5*'Cancel Curves'!$Z$12 + $H5*'Cancel Curves'!$Y$12 + $I5*'Cancel Curves'!$X$12 + $J5*'Cancel Curves'!$W$12 + $K5*'Cancel Curves'!$V$12 + $L5*'Cancel Curves'!$U$12 + $M5*'Cancel Curves'!$T$12 + $N5*'Cancel Curves'!$S$12 + $O5*'Cancel Curves'!$R$12 + $P5*'Cancel Curves'!$Q$12 + $Q5*'Cancel Curves'!$P$12 + $R5*'Cancel Curves'!$O$12 + $S5*'Cancel Curves'!$N$12 + $T5*'Cancel Curves'!$M$12 + $U5*'Cancel Curves'!$L$12 + $V5*'Cancel Curves'!$K$12 + $W5*'Cancel Curves'!$J$12 + $X5*'Cancel Curves'!$I$12 + $Y5*'Cancel Curves'!$H$12 + $Z5*'Cancel Curves'!$G$12 + $AA5*'Cancel Curves'!$F$12 + $AB5*'Cancel Curves'!$E$12 + $AC5*'Cancel Curves'!$D$12 + $AD5*'Cancel Curves'!$C$12 + $AE5*'Cancel Curves'!$B$12</f>
        <v/>
      </c>
      <c r="AF6" s="26">
        <f>$D5*'Cancel Curves'!$AD$12 + $E5*'Cancel Curves'!$AC$12 + $F5*'Cancel Curves'!$AB$12 + $G5*'Cancel Curves'!$AA$12 + $H5*'Cancel Curves'!$Z$12 + $I5*'Cancel Curves'!$Y$12 + $J5*'Cancel Curves'!$X$12 + $K5*'Cancel Curves'!$W$12 + $L5*'Cancel Curves'!$V$12 + $M5*'Cancel Curves'!$U$12 + $N5*'Cancel Curves'!$T$12 + $O5*'Cancel Curves'!$S$12 + $P5*'Cancel Curves'!$R$12 + $Q5*'Cancel Curves'!$Q$12 + $R5*'Cancel Curves'!$P$12 + $S5*'Cancel Curves'!$O$12 + $T5*'Cancel Curves'!$N$12 + $U5*'Cancel Curves'!$M$12 + $V5*'Cancel Curves'!$L$12 + $W5*'Cancel Curves'!$K$12 + $X5*'Cancel Curves'!$J$12 + $Y5*'Cancel Curves'!$I$12 + $Z5*'Cancel Curves'!$H$12 + $AA5*'Cancel Curves'!$G$12 + $AB5*'Cancel Curves'!$F$12 + $AC5*'Cancel Curves'!$E$12 + $AD5*'Cancel Curves'!$D$12 + $AE5*'Cancel Curves'!$C$12 + $AF5*'Cancel Curves'!$B$12</f>
        <v/>
      </c>
      <c r="AG6" s="26">
        <f>$D5*'Cancel Curves'!$AE$12 + $E5*'Cancel Curves'!$AD$12 + $F5*'Cancel Curves'!$AC$12 + $G5*'Cancel Curves'!$AB$12 + $H5*'Cancel Curves'!$AA$12 + $I5*'Cancel Curves'!$Z$12 + $J5*'Cancel Curves'!$Y$12 + $K5*'Cancel Curves'!$X$12 + $L5*'Cancel Curves'!$W$12 + $M5*'Cancel Curves'!$V$12 + $N5*'Cancel Curves'!$U$12 + $O5*'Cancel Curves'!$T$12 + $P5*'Cancel Curves'!$S$12 + $Q5*'Cancel Curves'!$R$12 + $R5*'Cancel Curves'!$Q$12 + $S5*'Cancel Curves'!$P$12 + $T5*'Cancel Curves'!$O$12 + $U5*'Cancel Curves'!$N$12 + $V5*'Cancel Curves'!$M$12 + $W5*'Cancel Curves'!$L$12 + $X5*'Cancel Curves'!$K$12 + $Y5*'Cancel Curves'!$J$12 + $Z5*'Cancel Curves'!$I$12 + $AA5*'Cancel Curves'!$H$12 + $AB5*'Cancel Curves'!$G$12 + $AC5*'Cancel Curves'!$F$12 + $AD5*'Cancel Curves'!$E$12 + $AE5*'Cancel Curves'!$D$12 + $AF5*'Cancel Curves'!$C$12 + $AG5*'Cancel Curves'!$B$12</f>
        <v/>
      </c>
      <c r="AH6" s="26">
        <f>$E5*'Cancel Curves'!$AE$12 + $F5*'Cancel Curves'!$AD$12 + $G5*'Cancel Curves'!$AC$12 + $H5*'Cancel Curves'!$AB$12 + $I5*'Cancel Curves'!$AA$12 + $J5*'Cancel Curves'!$Z$12 + $K5*'Cancel Curves'!$Y$12 + $L5*'Cancel Curves'!$X$12 + $M5*'Cancel Curves'!$W$12 + $N5*'Cancel Curves'!$V$12 + $O5*'Cancel Curves'!$U$12 + $P5*'Cancel Curves'!$T$12 + $Q5*'Cancel Curves'!$S$12 + $R5*'Cancel Curves'!$R$12 + $S5*'Cancel Curves'!$Q$12 + $T5*'Cancel Curves'!$P$12 + $U5*'Cancel Curves'!$O$12 + $V5*'Cancel Curves'!$N$12 + $W5*'Cancel Curves'!$M$12 + $X5*'Cancel Curves'!$L$12 + $Y5*'Cancel Curves'!$K$12 + $Z5*'Cancel Curves'!$J$12 + $AA5*'Cancel Curves'!$I$12 + $AB5*'Cancel Curves'!$H$12 + $AC5*'Cancel Curves'!$G$12 + $AD5*'Cancel Curves'!$F$12 + $AE5*'Cancel Curves'!$E$12 + $AF5*'Cancel Curves'!$D$12 + $AG5*'Cancel Curves'!$C$12 + $AH5*'Cancel Curves'!$B$12</f>
        <v/>
      </c>
      <c r="AI6" s="26">
        <f>$F5*'Cancel Curves'!$AE$12 + $G5*'Cancel Curves'!$AD$12 + $H5*'Cancel Curves'!$AC$12 + $I5*'Cancel Curves'!$AB$12 + $J5*'Cancel Curves'!$AA$12 + $K5*'Cancel Curves'!$Z$12 + $L5*'Cancel Curves'!$Y$12 + $M5*'Cancel Curves'!$X$12 + $N5*'Cancel Curves'!$W$12 + $O5*'Cancel Curves'!$V$12 + $P5*'Cancel Curves'!$U$12 + $Q5*'Cancel Curves'!$T$12 + $R5*'Cancel Curves'!$S$12 + $S5*'Cancel Curves'!$R$12 + $T5*'Cancel Curves'!$Q$12 + $U5*'Cancel Curves'!$P$12 + $V5*'Cancel Curves'!$O$12 + $W5*'Cancel Curves'!$N$12 + $X5*'Cancel Curves'!$M$12 + $Y5*'Cancel Curves'!$L$12 + $Z5*'Cancel Curves'!$K$12 + $AA5*'Cancel Curves'!$J$12 + $AB5*'Cancel Curves'!$I$12 + $AC5*'Cancel Curves'!$H$12 + $AD5*'Cancel Curves'!$G$12 + $AE5*'Cancel Curves'!$F$12 + $AF5*'Cancel Curves'!$E$12 + $AG5*'Cancel Curves'!$D$12 + $AH5*'Cancel Curves'!$C$12 + $AI5*'Cancel Curves'!$B$12</f>
        <v/>
      </c>
      <c r="AJ6" s="26">
        <f>$G5*'Cancel Curves'!$AE$12 + $H5*'Cancel Curves'!$AD$12 + $I5*'Cancel Curves'!$AC$12 + $J5*'Cancel Curves'!$AB$12 + $K5*'Cancel Curves'!$AA$12 + $L5*'Cancel Curves'!$Z$12 + $M5*'Cancel Curves'!$Y$12 + $N5*'Cancel Curves'!$X$12 + $O5*'Cancel Curves'!$W$12 + $P5*'Cancel Curves'!$V$12 + $Q5*'Cancel Curves'!$U$12 + $R5*'Cancel Curves'!$T$12 + $S5*'Cancel Curves'!$S$12 + $T5*'Cancel Curves'!$R$12 + $U5*'Cancel Curves'!$Q$12 + $V5*'Cancel Curves'!$P$12 + $W5*'Cancel Curves'!$O$12 + $X5*'Cancel Curves'!$N$12 + $Y5*'Cancel Curves'!$M$12 + $Z5*'Cancel Curves'!$L$12 + $AA5*'Cancel Curves'!$K$12 + $AB5*'Cancel Curves'!$J$12 + $AC5*'Cancel Curves'!$I$12 + $AD5*'Cancel Curves'!$H$12 + $AE5*'Cancel Curves'!$G$12 + $AF5*'Cancel Curves'!$F$12 + $AG5*'Cancel Curves'!$E$12 + $AH5*'Cancel Curves'!$D$12 + $AI5*'Cancel Curves'!$C$12 + $AJ5*'Cancel Curves'!$B$12</f>
        <v/>
      </c>
      <c r="AK6" s="26">
        <f>$H5*'Cancel Curves'!$AE$12 + $I5*'Cancel Curves'!$AD$12 + $J5*'Cancel Curves'!$AC$12 + $K5*'Cancel Curves'!$AB$12 + $L5*'Cancel Curves'!$AA$12 + $M5*'Cancel Curves'!$Z$12 + $N5*'Cancel Curves'!$Y$12 + $O5*'Cancel Curves'!$X$12 + $P5*'Cancel Curves'!$W$12 + $Q5*'Cancel Curves'!$V$12 + $R5*'Cancel Curves'!$U$12 + $S5*'Cancel Curves'!$T$12 + $T5*'Cancel Curves'!$S$12 + $U5*'Cancel Curves'!$R$12 + $V5*'Cancel Curves'!$Q$12 + $W5*'Cancel Curves'!$P$12 + $X5*'Cancel Curves'!$O$12 + $Y5*'Cancel Curves'!$N$12 + $Z5*'Cancel Curves'!$M$12 + $AA5*'Cancel Curves'!$L$12 + $AB5*'Cancel Curves'!$K$12 + $AC5*'Cancel Curves'!$J$12 + $AD5*'Cancel Curves'!$I$12 + $AE5*'Cancel Curves'!$H$12 + $AF5*'Cancel Curves'!$G$12 + $AG5*'Cancel Curves'!$F$12 + $AH5*'Cancel Curves'!$E$12 + $AI5*'Cancel Curves'!$D$12 + $AJ5*'Cancel Curves'!$C$12 + $AK5*'Cancel Curves'!$B$12</f>
        <v/>
      </c>
      <c r="AL6" s="26">
        <f>$I5*'Cancel Curves'!$AE$12 + $J5*'Cancel Curves'!$AD$12 + $K5*'Cancel Curves'!$AC$12 + $L5*'Cancel Curves'!$AB$12 + $M5*'Cancel Curves'!$AA$12 + $N5*'Cancel Curves'!$Z$12 + $O5*'Cancel Curves'!$Y$12 + $P5*'Cancel Curves'!$X$12 + $Q5*'Cancel Curves'!$W$12 + $R5*'Cancel Curves'!$V$12 + $S5*'Cancel Curves'!$U$12 + $T5*'Cancel Curves'!$T$12 + $U5*'Cancel Curves'!$S$12 + $V5*'Cancel Curves'!$R$12 + $W5*'Cancel Curves'!$Q$12 + $X5*'Cancel Curves'!$P$12 + $Y5*'Cancel Curves'!$O$12 + $Z5*'Cancel Curves'!$N$12 + $AA5*'Cancel Curves'!$M$12 + $AB5*'Cancel Curves'!$L$12 + $AC5*'Cancel Curves'!$K$12 + $AD5*'Cancel Curves'!$J$12 + $AE5*'Cancel Curves'!$I$12 + $AF5*'Cancel Curves'!$H$12 + $AG5*'Cancel Curves'!$G$12 + $AH5*'Cancel Curves'!$F$12 + $AI5*'Cancel Curves'!$E$12 + $AJ5*'Cancel Curves'!$D$12 + $AK5*'Cancel Curves'!$C$12 + $AL5*'Cancel Curves'!$B$12</f>
        <v/>
      </c>
      <c r="AM6" s="26">
        <f>$J5*'Cancel Curves'!$AE$12 + $K5*'Cancel Curves'!$AD$12 + $L5*'Cancel Curves'!$AC$12 + $M5*'Cancel Curves'!$AB$12 + $N5*'Cancel Curves'!$AA$12 + $O5*'Cancel Curves'!$Z$12 + $P5*'Cancel Curves'!$Y$12 + $Q5*'Cancel Curves'!$X$12 + $R5*'Cancel Curves'!$W$12 + $S5*'Cancel Curves'!$V$12 + $T5*'Cancel Curves'!$U$12 + $U5*'Cancel Curves'!$T$12 + $V5*'Cancel Curves'!$S$12 + $W5*'Cancel Curves'!$R$12 + $X5*'Cancel Curves'!$Q$12 + $Y5*'Cancel Curves'!$P$12 + $Z5*'Cancel Curves'!$O$12 + $AA5*'Cancel Curves'!$N$12 + $AB5*'Cancel Curves'!$M$12 + $AC5*'Cancel Curves'!$L$12 + $AD5*'Cancel Curves'!$K$12 + $AE5*'Cancel Curves'!$J$12 + $AF5*'Cancel Curves'!$I$12 + $AG5*'Cancel Curves'!$H$12 + $AH5*'Cancel Curves'!$G$12 + $AI5*'Cancel Curves'!$F$12 + $AJ5*'Cancel Curves'!$E$12 + $AK5*'Cancel Curves'!$D$12 + $AL5*'Cancel Curves'!$C$12 + $AM5*'Cancel Curves'!$B$12</f>
        <v/>
      </c>
      <c r="AN6" s="26">
        <f>$K5*'Cancel Curves'!$AE$12 + $L5*'Cancel Curves'!$AD$12 + $M5*'Cancel Curves'!$AC$12 + $N5*'Cancel Curves'!$AB$12 + $O5*'Cancel Curves'!$AA$12 + $P5*'Cancel Curves'!$Z$12 + $Q5*'Cancel Curves'!$Y$12 + $R5*'Cancel Curves'!$X$12 + $S5*'Cancel Curves'!$W$12 + $T5*'Cancel Curves'!$V$12 + $U5*'Cancel Curves'!$U$12 + $V5*'Cancel Curves'!$T$12 + $W5*'Cancel Curves'!$S$12 + $X5*'Cancel Curves'!$R$12 + $Y5*'Cancel Curves'!$Q$12 + $Z5*'Cancel Curves'!$P$12 + $AA5*'Cancel Curves'!$O$12 + $AB5*'Cancel Curves'!$N$12 + $AC5*'Cancel Curves'!$M$12 + $AD5*'Cancel Curves'!$L$12 + $AE5*'Cancel Curves'!$K$12 + $AF5*'Cancel Curves'!$J$12 + $AG5*'Cancel Curves'!$I$12 + $AH5*'Cancel Curves'!$H$12 + $AI5*'Cancel Curves'!$G$12 + $AJ5*'Cancel Curves'!$F$12 + $AK5*'Cancel Curves'!$E$12 + $AL5*'Cancel Curves'!$D$12 + $AM5*'Cancel Curves'!$C$12 + $AN5*'Cancel Curves'!$B$12</f>
        <v/>
      </c>
      <c r="AO6" s="26">
        <f>$L5*'Cancel Curves'!$AE$12 + $M5*'Cancel Curves'!$AD$12 + $N5*'Cancel Curves'!$AC$12 + $O5*'Cancel Curves'!$AB$12 + $P5*'Cancel Curves'!$AA$12 + $Q5*'Cancel Curves'!$Z$12 + $R5*'Cancel Curves'!$Y$12 + $S5*'Cancel Curves'!$X$12 + $T5*'Cancel Curves'!$W$12 + $U5*'Cancel Curves'!$V$12 + $V5*'Cancel Curves'!$U$12 + $W5*'Cancel Curves'!$T$12 + $X5*'Cancel Curves'!$S$12 + $Y5*'Cancel Curves'!$R$12 + $Z5*'Cancel Curves'!$Q$12 + $AA5*'Cancel Curves'!$P$12 + $AB5*'Cancel Curves'!$O$12 + $AC5*'Cancel Curves'!$N$12 + $AD5*'Cancel Curves'!$M$12 + $AE5*'Cancel Curves'!$L$12 + $AF5*'Cancel Curves'!$K$12 + $AG5*'Cancel Curves'!$J$12 + $AH5*'Cancel Curves'!$I$12 + $AI5*'Cancel Curves'!$H$12 + $AJ5*'Cancel Curves'!$G$12 + $AK5*'Cancel Curves'!$F$12 + $AL5*'Cancel Curves'!$E$12 + $AM5*'Cancel Curves'!$D$12 + $AN5*'Cancel Curves'!$C$12 + $AO5*'Cancel Curves'!$B$12</f>
        <v/>
      </c>
      <c r="AP6" s="26">
        <f>$M5*'Cancel Curves'!$AE$12 + $N5*'Cancel Curves'!$AD$12 + $O5*'Cancel Curves'!$AC$12 + $P5*'Cancel Curves'!$AB$12 + $Q5*'Cancel Curves'!$AA$12 + $R5*'Cancel Curves'!$Z$12 + $S5*'Cancel Curves'!$Y$12 + $T5*'Cancel Curves'!$X$12 + $U5*'Cancel Curves'!$W$12 + $V5*'Cancel Curves'!$V$12 + $W5*'Cancel Curves'!$U$12 + $X5*'Cancel Curves'!$T$12 + $Y5*'Cancel Curves'!$S$12 + $Z5*'Cancel Curves'!$R$12 + $AA5*'Cancel Curves'!$Q$12 + $AB5*'Cancel Curves'!$P$12 + $AC5*'Cancel Curves'!$O$12 + $AD5*'Cancel Curves'!$N$12 + $AE5*'Cancel Curves'!$M$12 + $AF5*'Cancel Curves'!$L$12 + $AG5*'Cancel Curves'!$K$12 + $AH5*'Cancel Curves'!$J$12 + $AI5*'Cancel Curves'!$I$12 + $AJ5*'Cancel Curves'!$H$12 + $AK5*'Cancel Curves'!$G$12 + $AL5*'Cancel Curves'!$F$12 + $AM5*'Cancel Curves'!$E$12 + $AN5*'Cancel Curves'!$D$12 + $AO5*'Cancel Curves'!$C$12 + $AP5*'Cancel Curves'!$B$12</f>
        <v/>
      </c>
      <c r="AQ6" s="26">
        <f>$N5*'Cancel Curves'!$AE$12 + $O5*'Cancel Curves'!$AD$12 + $P5*'Cancel Curves'!$AC$12 + $Q5*'Cancel Curves'!$AB$12 + $R5*'Cancel Curves'!$AA$12 + $S5*'Cancel Curves'!$Z$12 + $T5*'Cancel Curves'!$Y$12 + $U5*'Cancel Curves'!$X$12 + $V5*'Cancel Curves'!$W$12 + $W5*'Cancel Curves'!$V$12 + $X5*'Cancel Curves'!$U$12 + $Y5*'Cancel Curves'!$T$12 + $Z5*'Cancel Curves'!$S$12 + $AA5*'Cancel Curves'!$R$12 + $AB5*'Cancel Curves'!$Q$12 + $AC5*'Cancel Curves'!$P$12 + $AD5*'Cancel Curves'!$O$12 + $AE5*'Cancel Curves'!$N$12 + $AF5*'Cancel Curves'!$M$12 + $AG5*'Cancel Curves'!$L$12 + $AH5*'Cancel Curves'!$K$12 + $AI5*'Cancel Curves'!$J$12 + $AJ5*'Cancel Curves'!$I$12 + $AK5*'Cancel Curves'!$H$12 + $AL5*'Cancel Curves'!$G$12 + $AM5*'Cancel Curves'!$F$12 + $AN5*'Cancel Curves'!$E$12 + $AO5*'Cancel Curves'!$D$12 + $AP5*'Cancel Curves'!$C$12 + $AQ5*'Cancel Curves'!$B$12</f>
        <v/>
      </c>
      <c r="AR6" s="26">
        <f>$O5*'Cancel Curves'!$AE$12 + $P5*'Cancel Curves'!$AD$12 + $Q5*'Cancel Curves'!$AC$12 + $R5*'Cancel Curves'!$AB$12 + $S5*'Cancel Curves'!$AA$12 + $T5*'Cancel Curves'!$Z$12 + $U5*'Cancel Curves'!$Y$12 + $V5*'Cancel Curves'!$X$12 + $W5*'Cancel Curves'!$W$12 + $X5*'Cancel Curves'!$V$12 + $Y5*'Cancel Curves'!$U$12 + $Z5*'Cancel Curves'!$T$12 + $AA5*'Cancel Curves'!$S$12 + $AB5*'Cancel Curves'!$R$12 + $AC5*'Cancel Curves'!$Q$12 + $AD5*'Cancel Curves'!$P$12 + $AE5*'Cancel Curves'!$O$12 + $AF5*'Cancel Curves'!$N$12 + $AG5*'Cancel Curves'!$M$12 + $AH5*'Cancel Curves'!$L$12 + $AI5*'Cancel Curves'!$K$12 + $AJ5*'Cancel Curves'!$J$12 + $AK5*'Cancel Curves'!$I$12 + $AL5*'Cancel Curves'!$H$12 + $AM5*'Cancel Curves'!$G$12 + $AN5*'Cancel Curves'!$F$12 + $AO5*'Cancel Curves'!$E$12 + $AP5*'Cancel Curves'!$D$12 + $AQ5*'Cancel Curves'!$C$12 + $AR5*'Cancel Curves'!$B$12</f>
        <v/>
      </c>
      <c r="AS6" s="26">
        <f>$P5*'Cancel Curves'!$AE$12 + $Q5*'Cancel Curves'!$AD$12 + $R5*'Cancel Curves'!$AC$12 + $S5*'Cancel Curves'!$AB$12 + $T5*'Cancel Curves'!$AA$12 + $U5*'Cancel Curves'!$Z$12 + $V5*'Cancel Curves'!$Y$12 + $W5*'Cancel Curves'!$X$12 + $X5*'Cancel Curves'!$W$12 + $Y5*'Cancel Curves'!$V$12 + $Z5*'Cancel Curves'!$U$12 + $AA5*'Cancel Curves'!$T$12 + $AB5*'Cancel Curves'!$S$12 + $AC5*'Cancel Curves'!$R$12 + $AD5*'Cancel Curves'!$Q$12 + $AE5*'Cancel Curves'!$P$12 + $AF5*'Cancel Curves'!$O$12 + $AG5*'Cancel Curves'!$N$12 + $AH5*'Cancel Curves'!$M$12 + $AI5*'Cancel Curves'!$L$12 + $AJ5*'Cancel Curves'!$K$12 + $AK5*'Cancel Curves'!$J$12 + $AL5*'Cancel Curves'!$I$12 + $AM5*'Cancel Curves'!$H$12 + $AN5*'Cancel Curves'!$G$12 + $AO5*'Cancel Curves'!$F$12 + $AP5*'Cancel Curves'!$E$12 + $AQ5*'Cancel Curves'!$D$12 + $AR5*'Cancel Curves'!$C$12 + $AS5*'Cancel Curves'!$B$12</f>
        <v/>
      </c>
      <c r="AT6" s="26">
        <f>$Q5*'Cancel Curves'!$AE$12 + $R5*'Cancel Curves'!$AD$12 + $S5*'Cancel Curves'!$AC$12 + $T5*'Cancel Curves'!$AB$12 + $U5*'Cancel Curves'!$AA$12 + $V5*'Cancel Curves'!$Z$12 + $W5*'Cancel Curves'!$Y$12 + $X5*'Cancel Curves'!$X$12 + $Y5*'Cancel Curves'!$W$12 + $Z5*'Cancel Curves'!$V$12 + $AA5*'Cancel Curves'!$U$12 + $AB5*'Cancel Curves'!$T$12 + $AC5*'Cancel Curves'!$S$12 + $AD5*'Cancel Curves'!$R$12 + $AE5*'Cancel Curves'!$Q$12 + $AF5*'Cancel Curves'!$P$12 + $AG5*'Cancel Curves'!$O$12 + $AH5*'Cancel Curves'!$N$12 + $AI5*'Cancel Curves'!$M$12 + $AJ5*'Cancel Curves'!$L$12 + $AK5*'Cancel Curves'!$K$12 + $AL5*'Cancel Curves'!$J$12 + $AM5*'Cancel Curves'!$I$12 + $AN5*'Cancel Curves'!$H$12 + $AO5*'Cancel Curves'!$G$12 + $AP5*'Cancel Curves'!$F$12 + $AQ5*'Cancel Curves'!$E$12 + $AR5*'Cancel Curves'!$D$12 + $AS5*'Cancel Curves'!$C$12 + $AT5*'Cancel Curves'!$B$12</f>
        <v/>
      </c>
      <c r="AU6" s="26">
        <f>$R5*'Cancel Curves'!$AE$12 + $S5*'Cancel Curves'!$AD$12 + $T5*'Cancel Curves'!$AC$12 + $U5*'Cancel Curves'!$AB$12 + $V5*'Cancel Curves'!$AA$12 + $W5*'Cancel Curves'!$Z$12 + $X5*'Cancel Curves'!$Y$12 + $Y5*'Cancel Curves'!$X$12 + $Z5*'Cancel Curves'!$W$12 + $AA5*'Cancel Curves'!$V$12 + $AB5*'Cancel Curves'!$U$12 + $AC5*'Cancel Curves'!$T$12 + $AD5*'Cancel Curves'!$S$12 + $AE5*'Cancel Curves'!$R$12 + $AF5*'Cancel Curves'!$Q$12 + $AG5*'Cancel Curves'!$P$12 + $AH5*'Cancel Curves'!$O$12 + $AI5*'Cancel Curves'!$N$12 + $AJ5*'Cancel Curves'!$M$12 + $AK5*'Cancel Curves'!$L$12 + $AL5*'Cancel Curves'!$K$12 + $AM5*'Cancel Curves'!$J$12 + $AN5*'Cancel Curves'!$I$12 + $AO5*'Cancel Curves'!$H$12 + $AP5*'Cancel Curves'!$G$12 + $AQ5*'Cancel Curves'!$F$12 + $AR5*'Cancel Curves'!$E$12 + $AS5*'Cancel Curves'!$D$12 + $AT5*'Cancel Curves'!$C$12 + $AU5*'Cancel Curves'!$B$12</f>
        <v/>
      </c>
      <c r="AV6" s="26">
        <f>$S5*'Cancel Curves'!$AE$12 + $T5*'Cancel Curves'!$AD$12 + $U5*'Cancel Curves'!$AC$12 + $V5*'Cancel Curves'!$AB$12 + $W5*'Cancel Curves'!$AA$12 + $X5*'Cancel Curves'!$Z$12 + $Y5*'Cancel Curves'!$Y$12 + $Z5*'Cancel Curves'!$X$12 + $AA5*'Cancel Curves'!$W$12 + $AB5*'Cancel Curves'!$V$12 + $AC5*'Cancel Curves'!$U$12 + $AD5*'Cancel Curves'!$T$12 + $AE5*'Cancel Curves'!$S$12 + $AF5*'Cancel Curves'!$R$12 + $AG5*'Cancel Curves'!$Q$12 + $AH5*'Cancel Curves'!$P$12 + $AI5*'Cancel Curves'!$O$12 + $AJ5*'Cancel Curves'!$N$12 + $AK5*'Cancel Curves'!$M$12 + $AL5*'Cancel Curves'!$L$12 + $AM5*'Cancel Curves'!$K$12 + $AN5*'Cancel Curves'!$J$12 + $AO5*'Cancel Curves'!$I$12 + $AP5*'Cancel Curves'!$H$12 + $AQ5*'Cancel Curves'!$G$12 + $AR5*'Cancel Curves'!$F$12 + $AS5*'Cancel Curves'!$E$12 + $AT5*'Cancel Curves'!$D$12 + $AU5*'Cancel Curves'!$C$12 + $AV5*'Cancel Curves'!$B$12</f>
        <v/>
      </c>
      <c r="AW6" s="26">
        <f>$T5*'Cancel Curves'!$AE$12 + $U5*'Cancel Curves'!$AD$12 + $V5*'Cancel Curves'!$AC$12 + $W5*'Cancel Curves'!$AB$12 + $X5*'Cancel Curves'!$AA$12 + $Y5*'Cancel Curves'!$Z$12 + $Z5*'Cancel Curves'!$Y$12 + $AA5*'Cancel Curves'!$X$12 + $AB5*'Cancel Curves'!$W$12 + $AC5*'Cancel Curves'!$V$12 + $AD5*'Cancel Curves'!$U$12 + $AE5*'Cancel Curves'!$T$12 + $AF5*'Cancel Curves'!$S$12 + $AG5*'Cancel Curves'!$R$12 + $AH5*'Cancel Curves'!$Q$12 + $AI5*'Cancel Curves'!$P$12 + $AJ5*'Cancel Curves'!$O$12 + $AK5*'Cancel Curves'!$N$12 + $AL5*'Cancel Curves'!$M$12 + $AM5*'Cancel Curves'!$L$12 + $AN5*'Cancel Curves'!$K$12 + $AO5*'Cancel Curves'!$J$12 + $AP5*'Cancel Curves'!$I$12 + $AQ5*'Cancel Curves'!$H$12 + $AR5*'Cancel Curves'!$G$12 + $AS5*'Cancel Curves'!$F$12 + $AT5*'Cancel Curves'!$E$12 + $AU5*'Cancel Curves'!$D$12 + $AV5*'Cancel Curves'!$C$12 + $AW5*'Cancel Curves'!$B$12</f>
        <v/>
      </c>
      <c r="AX6" s="26">
        <f>$U5*'Cancel Curves'!$AE$12 + $V5*'Cancel Curves'!$AD$12 + $W5*'Cancel Curves'!$AC$12 + $X5*'Cancel Curves'!$AB$12 + $Y5*'Cancel Curves'!$AA$12 + $Z5*'Cancel Curves'!$Z$12 + $AA5*'Cancel Curves'!$Y$12 + $AB5*'Cancel Curves'!$X$12 + $AC5*'Cancel Curves'!$W$12 + $AD5*'Cancel Curves'!$V$12 + $AE5*'Cancel Curves'!$U$12 + $AF5*'Cancel Curves'!$T$12 + $AG5*'Cancel Curves'!$S$12 + $AH5*'Cancel Curves'!$R$12 + $AI5*'Cancel Curves'!$Q$12 + $AJ5*'Cancel Curves'!$P$12 + $AK5*'Cancel Curves'!$O$12 + $AL5*'Cancel Curves'!$N$12 + $AM5*'Cancel Curves'!$M$12 + $AN5*'Cancel Curves'!$L$12 + $AO5*'Cancel Curves'!$K$12 + $AP5*'Cancel Curves'!$J$12 + $AQ5*'Cancel Curves'!$I$12 + $AR5*'Cancel Curves'!$H$12 + $AS5*'Cancel Curves'!$G$12 + $AT5*'Cancel Curves'!$F$12 + $AU5*'Cancel Curves'!$E$12 + $AV5*'Cancel Curves'!$D$12 + $AW5*'Cancel Curves'!$C$12 + $AX5*'Cancel Curves'!$B$12</f>
        <v/>
      </c>
      <c r="AY6" s="26">
        <f>$V5*'Cancel Curves'!$AE$12 + $W5*'Cancel Curves'!$AD$12 + $X5*'Cancel Curves'!$AC$12 + $Y5*'Cancel Curves'!$AB$12 + $Z5*'Cancel Curves'!$AA$12 + $AA5*'Cancel Curves'!$Z$12 + $AB5*'Cancel Curves'!$Y$12 + $AC5*'Cancel Curves'!$X$12 + $AD5*'Cancel Curves'!$W$12 + $AE5*'Cancel Curves'!$V$12 + $AF5*'Cancel Curves'!$U$12 + $AG5*'Cancel Curves'!$T$12 + $AH5*'Cancel Curves'!$S$12 + $AI5*'Cancel Curves'!$R$12 + $AJ5*'Cancel Curves'!$Q$12 + $AK5*'Cancel Curves'!$P$12 + $AL5*'Cancel Curves'!$O$12 + $AM5*'Cancel Curves'!$N$12 + $AN5*'Cancel Curves'!$M$12 + $AO5*'Cancel Curves'!$L$12 + $AP5*'Cancel Curves'!$K$12 + $AQ5*'Cancel Curves'!$J$12 + $AR5*'Cancel Curves'!$I$12 + $AS5*'Cancel Curves'!$H$12 + $AT5*'Cancel Curves'!$G$12 + $AU5*'Cancel Curves'!$F$12 + $AV5*'Cancel Curves'!$E$12 + $AW5*'Cancel Curves'!$D$12 + $AX5*'Cancel Curves'!$C$12 + $AY5*'Cancel Curves'!$B$12</f>
        <v/>
      </c>
      <c r="AZ6" s="26">
        <f>$W5*'Cancel Curves'!$AE$12 + $X5*'Cancel Curves'!$AD$12 + $Y5*'Cancel Curves'!$AC$12 + $Z5*'Cancel Curves'!$AB$12 + $AA5*'Cancel Curves'!$AA$12 + $AB5*'Cancel Curves'!$Z$12 + $AC5*'Cancel Curves'!$Y$12 + $AD5*'Cancel Curves'!$X$12 + $AE5*'Cancel Curves'!$W$12 + $AF5*'Cancel Curves'!$V$12 + $AG5*'Cancel Curves'!$U$12 + $AH5*'Cancel Curves'!$T$12 + $AI5*'Cancel Curves'!$S$12 + $AJ5*'Cancel Curves'!$R$12 + $AK5*'Cancel Curves'!$Q$12 + $AL5*'Cancel Curves'!$P$12 + $AM5*'Cancel Curves'!$O$12 + $AN5*'Cancel Curves'!$N$12 + $AO5*'Cancel Curves'!$M$12 + $AP5*'Cancel Curves'!$L$12 + $AQ5*'Cancel Curves'!$K$12 + $AR5*'Cancel Curves'!$J$12 + $AS5*'Cancel Curves'!$I$12 + $AT5*'Cancel Curves'!$H$12 + $AU5*'Cancel Curves'!$G$12 + $AV5*'Cancel Curves'!$F$12 + $AW5*'Cancel Curves'!$E$12 + $AX5*'Cancel Curves'!$D$12 + $AY5*'Cancel Curves'!$C$12 + $AZ5*'Cancel Curves'!$B$12</f>
        <v/>
      </c>
      <c r="BA6" s="26">
        <f>$X5*'Cancel Curves'!$AE$12 + $Y5*'Cancel Curves'!$AD$12 + $Z5*'Cancel Curves'!$AC$12 + $AA5*'Cancel Curves'!$AB$12 + $AB5*'Cancel Curves'!$AA$12 + $AC5*'Cancel Curves'!$Z$12 + $AD5*'Cancel Curves'!$Y$12 + $AE5*'Cancel Curves'!$X$12 + $AF5*'Cancel Curves'!$W$12 + $AG5*'Cancel Curves'!$V$12 + $AH5*'Cancel Curves'!$U$12 + $AI5*'Cancel Curves'!$T$12 + $AJ5*'Cancel Curves'!$S$12 + $AK5*'Cancel Curves'!$R$12 + $AL5*'Cancel Curves'!$Q$12 + $AM5*'Cancel Curves'!$P$12 + $AN5*'Cancel Curves'!$O$12 + $AO5*'Cancel Curves'!$N$12 + $AP5*'Cancel Curves'!$M$12 + $AQ5*'Cancel Curves'!$L$12 + $AR5*'Cancel Curves'!$K$12 + $AS5*'Cancel Curves'!$J$12 + $AT5*'Cancel Curves'!$I$12 + $AU5*'Cancel Curves'!$H$12 + $AV5*'Cancel Curves'!$G$12 + $AW5*'Cancel Curves'!$F$12 + $AX5*'Cancel Curves'!$E$12 + $AY5*'Cancel Curves'!$D$12 + $AZ5*'Cancel Curves'!$C$12 + $BA5*'Cancel Curves'!$B$12</f>
        <v/>
      </c>
      <c r="BB6" s="26">
        <f>$Y5*'Cancel Curves'!$AE$12 + $Z5*'Cancel Curves'!$AD$12 + $AA5*'Cancel Curves'!$AC$12 + $AB5*'Cancel Curves'!$AB$12 + $AC5*'Cancel Curves'!$AA$12 + $AD5*'Cancel Curves'!$Z$12 + $AE5*'Cancel Curves'!$Y$12 + $AF5*'Cancel Curves'!$X$12 + $AG5*'Cancel Curves'!$W$12 + $AH5*'Cancel Curves'!$V$12 + $AI5*'Cancel Curves'!$U$12 + $AJ5*'Cancel Curves'!$T$12 + $AK5*'Cancel Curves'!$S$12 + $AL5*'Cancel Curves'!$R$12 + $AM5*'Cancel Curves'!$Q$12 + $AN5*'Cancel Curves'!$P$12 + $AO5*'Cancel Curves'!$O$12 + $AP5*'Cancel Curves'!$N$12 + $AQ5*'Cancel Curves'!$M$12 + $AR5*'Cancel Curves'!$L$12 + $AS5*'Cancel Curves'!$K$12 + $AT5*'Cancel Curves'!$J$12 + $AU5*'Cancel Curves'!$I$12 + $AV5*'Cancel Curves'!$H$12 + $AW5*'Cancel Curves'!$G$12 + $AX5*'Cancel Curves'!$F$12 + $AY5*'Cancel Curves'!$E$12 + $AZ5*'Cancel Curves'!$D$12 + $BA5*'Cancel Curves'!$C$12 + $BB5*'Cancel Curves'!$B$12</f>
        <v/>
      </c>
      <c r="BC6" s="26">
        <f>$Z5*'Cancel Curves'!$AE$12 + $AA5*'Cancel Curves'!$AD$12 + $AB5*'Cancel Curves'!$AC$12 + $AC5*'Cancel Curves'!$AB$12 + $AD5*'Cancel Curves'!$AA$12 + $AE5*'Cancel Curves'!$Z$12 + $AF5*'Cancel Curves'!$Y$12 + $AG5*'Cancel Curves'!$X$12 + $AH5*'Cancel Curves'!$W$12 + $AI5*'Cancel Curves'!$V$12 + $AJ5*'Cancel Curves'!$U$12 + $AK5*'Cancel Curves'!$T$12 + $AL5*'Cancel Curves'!$S$12 + $AM5*'Cancel Curves'!$R$12 + $AN5*'Cancel Curves'!$Q$12 + $AO5*'Cancel Curves'!$P$12 + $AP5*'Cancel Curves'!$O$12 + $AQ5*'Cancel Curves'!$N$12 + $AR5*'Cancel Curves'!$M$12 + $AS5*'Cancel Curves'!$L$12 + $AT5*'Cancel Curves'!$K$12 + $AU5*'Cancel Curves'!$J$12 + $AV5*'Cancel Curves'!$I$12 + $AW5*'Cancel Curves'!$H$12 + $AX5*'Cancel Curves'!$G$12 + $AY5*'Cancel Curves'!$F$12 + $AZ5*'Cancel Curves'!$E$12 + $BA5*'Cancel Curves'!$D$12 + $BB5*'Cancel Curves'!$C$12 + $BC5*'Cancel Curves'!$B$12</f>
        <v/>
      </c>
      <c r="BD6" s="26">
        <f>$AA5*'Cancel Curves'!$AE$12 + $AB5*'Cancel Curves'!$AD$12 + $AC5*'Cancel Curves'!$AC$12 + $AD5*'Cancel Curves'!$AB$12 + $AE5*'Cancel Curves'!$AA$12 + $AF5*'Cancel Curves'!$Z$12 + $AG5*'Cancel Curves'!$Y$12 + $AH5*'Cancel Curves'!$X$12 + $AI5*'Cancel Curves'!$W$12 + $AJ5*'Cancel Curves'!$V$12 + $AK5*'Cancel Curves'!$U$12 + $AL5*'Cancel Curves'!$T$12 + $AM5*'Cancel Curves'!$S$12 + $AN5*'Cancel Curves'!$R$12 + $AO5*'Cancel Curves'!$Q$12 + $AP5*'Cancel Curves'!$P$12 + $AQ5*'Cancel Curves'!$O$12 + $AR5*'Cancel Curves'!$N$12 + $AS5*'Cancel Curves'!$M$12 + $AT5*'Cancel Curves'!$L$12 + $AU5*'Cancel Curves'!$K$12 + $AV5*'Cancel Curves'!$J$12 + $AW5*'Cancel Curves'!$I$12 + $AX5*'Cancel Curves'!$H$12 + $AY5*'Cancel Curves'!$G$12 + $AZ5*'Cancel Curves'!$F$12 + $BA5*'Cancel Curves'!$E$12 + $BB5*'Cancel Curves'!$D$12 + $BC5*'Cancel Curves'!$C$12 + $BD5*'Cancel Curves'!$B$12</f>
        <v/>
      </c>
      <c r="BE6" s="26">
        <f>$AB5*'Cancel Curves'!$AE$12 + $AC5*'Cancel Curves'!$AD$12 + $AD5*'Cancel Curves'!$AC$12 + $AE5*'Cancel Curves'!$AB$12 + $AF5*'Cancel Curves'!$AA$12 + $AG5*'Cancel Curves'!$Z$12 + $AH5*'Cancel Curves'!$Y$12 + $AI5*'Cancel Curves'!$X$12 + $AJ5*'Cancel Curves'!$W$12 + $AK5*'Cancel Curves'!$V$12 + $AL5*'Cancel Curves'!$U$12 + $AM5*'Cancel Curves'!$T$12 + $AN5*'Cancel Curves'!$S$12 + $AO5*'Cancel Curves'!$R$12 + $AP5*'Cancel Curves'!$Q$12 + $AQ5*'Cancel Curves'!$P$12 + $AR5*'Cancel Curves'!$O$12 + $AS5*'Cancel Curves'!$N$12 + $AT5*'Cancel Curves'!$M$12 + $AU5*'Cancel Curves'!$L$12 + $AV5*'Cancel Curves'!$K$12 + $AW5*'Cancel Curves'!$J$12 + $AX5*'Cancel Curves'!$I$12 + $AY5*'Cancel Curves'!$H$12 + $AZ5*'Cancel Curves'!$G$12 + $BA5*'Cancel Curves'!$F$12 + $BB5*'Cancel Curves'!$E$12 + $BC5*'Cancel Curves'!$D$12 + $BD5*'Cancel Curves'!$C$12 + $BE5*'Cancel Curves'!$B$12</f>
        <v/>
      </c>
      <c r="BF6" s="26">
        <f>$AC5*'Cancel Curves'!$AE$12 + $AD5*'Cancel Curves'!$AD$12 + $AE5*'Cancel Curves'!$AC$12 + $AF5*'Cancel Curves'!$AB$12 + $AG5*'Cancel Curves'!$AA$12 + $AH5*'Cancel Curves'!$Z$12 + $AI5*'Cancel Curves'!$Y$12 + $AJ5*'Cancel Curves'!$X$12 + $AK5*'Cancel Curves'!$W$12 + $AL5*'Cancel Curves'!$V$12 + $AM5*'Cancel Curves'!$U$12 + $AN5*'Cancel Curves'!$T$12 + $AO5*'Cancel Curves'!$S$12 + $AP5*'Cancel Curves'!$R$12 + $AQ5*'Cancel Curves'!$Q$12 + $AR5*'Cancel Curves'!$P$12 + $AS5*'Cancel Curves'!$O$12 + $AT5*'Cancel Curves'!$N$12 + $AU5*'Cancel Curves'!$M$12 + $AV5*'Cancel Curves'!$L$12 + $AW5*'Cancel Curves'!$K$12 + $AX5*'Cancel Curves'!$J$12 + $AY5*'Cancel Curves'!$I$12 + $AZ5*'Cancel Curves'!$H$12 + $BA5*'Cancel Curves'!$G$12 + $BB5*'Cancel Curves'!$F$12 + $BC5*'Cancel Curves'!$E$12 + $BD5*'Cancel Curves'!$D$12 + $BE5*'Cancel Curves'!$C$12 + $BF5*'Cancel Curves'!$B$12</f>
        <v/>
      </c>
      <c r="BG6" s="26">
        <f>$AD5*'Cancel Curves'!$AE$12 + $AE5*'Cancel Curves'!$AD$12 + $AF5*'Cancel Curves'!$AC$12 + $AG5*'Cancel Curves'!$AB$12 + $AH5*'Cancel Curves'!$AA$12 + $AI5*'Cancel Curves'!$Z$12 + $AJ5*'Cancel Curves'!$Y$12 + $AK5*'Cancel Curves'!$X$12 + $AL5*'Cancel Curves'!$W$12 + $AM5*'Cancel Curves'!$V$12 + $AN5*'Cancel Curves'!$U$12 + $AO5*'Cancel Curves'!$T$12 + $AP5*'Cancel Curves'!$S$12 + $AQ5*'Cancel Curves'!$R$12 + $AR5*'Cancel Curves'!$Q$12 + $AS5*'Cancel Curves'!$P$12 + $AT5*'Cancel Curves'!$O$12 + $AU5*'Cancel Curves'!$N$12 + $AV5*'Cancel Curves'!$M$12 + $AW5*'Cancel Curves'!$L$12 + $AX5*'Cancel Curves'!$K$12 + $AY5*'Cancel Curves'!$J$12 + $AZ5*'Cancel Curves'!$I$12 + $BA5*'Cancel Curves'!$H$12 + $BB5*'Cancel Curves'!$G$12 + $BC5*'Cancel Curves'!$F$12 + $BD5*'Cancel Curves'!$E$12 + $BE5*'Cancel Curves'!$D$12 + $BF5*'Cancel Curves'!$C$12 + $BG5*'Cancel Curves'!$B$12</f>
        <v/>
      </c>
      <c r="BH6" s="26">
        <f>$AE5*'Cancel Curves'!$AE$12 + $AF5*'Cancel Curves'!$AD$12 + $AG5*'Cancel Curves'!$AC$12 + $AH5*'Cancel Curves'!$AB$12 + $AI5*'Cancel Curves'!$AA$12 + $AJ5*'Cancel Curves'!$Z$12 + $AK5*'Cancel Curves'!$Y$12 + $AL5*'Cancel Curves'!$X$12 + $AM5*'Cancel Curves'!$W$12 + $AN5*'Cancel Curves'!$V$12 + $AO5*'Cancel Curves'!$U$12 + $AP5*'Cancel Curves'!$T$12 + $AQ5*'Cancel Curves'!$S$12 + $AR5*'Cancel Curves'!$R$12 + $AS5*'Cancel Curves'!$Q$12 + $AT5*'Cancel Curves'!$P$12 + $AU5*'Cancel Curves'!$O$12 + $AV5*'Cancel Curves'!$N$12 + $AW5*'Cancel Curves'!$M$12 + $AX5*'Cancel Curves'!$L$12 + $AY5*'Cancel Curves'!$K$12 + $AZ5*'Cancel Curves'!$J$12 + $BA5*'Cancel Curves'!$I$12 + $BB5*'Cancel Curves'!$H$12 + $BC5*'Cancel Curves'!$G$12 + $BD5*'Cancel Curves'!$F$12 + $BE5*'Cancel Curves'!$E$12 + $BF5*'Cancel Curves'!$D$12 + $BG5*'Cancel Curves'!$C$12 + $BH5*'Cancel Curves'!$B$12</f>
        <v/>
      </c>
      <c r="BI6" s="26">
        <f>$AF5*'Cancel Curves'!$AE$12 + $AG5*'Cancel Curves'!$AD$12 + $AH5*'Cancel Curves'!$AC$12 + $AI5*'Cancel Curves'!$AB$12 + $AJ5*'Cancel Curves'!$AA$12 + $AK5*'Cancel Curves'!$Z$12 + $AL5*'Cancel Curves'!$Y$12 + $AM5*'Cancel Curves'!$X$12 + $AN5*'Cancel Curves'!$W$12 + $AO5*'Cancel Curves'!$V$12 + $AP5*'Cancel Curves'!$U$12 + $AQ5*'Cancel Curves'!$T$12 + $AR5*'Cancel Curves'!$S$12 + $AS5*'Cancel Curves'!$R$12 + $AT5*'Cancel Curves'!$Q$12 + $AU5*'Cancel Curves'!$P$12 + $AV5*'Cancel Curves'!$O$12 + $AW5*'Cancel Curves'!$N$12 + $AX5*'Cancel Curves'!$M$12 + $AY5*'Cancel Curves'!$L$12 + $AZ5*'Cancel Curves'!$K$12 + $BA5*'Cancel Curves'!$J$12 + $BB5*'Cancel Curves'!$I$12 + $BC5*'Cancel Curves'!$H$12 + $BD5*'Cancel Curves'!$G$12 + $BE5*'Cancel Curves'!$F$12 + $BF5*'Cancel Curves'!$E$12 + $BG5*'Cancel Curves'!$D$12 + $BH5*'Cancel Curves'!$C$12 + $BI5*'Cancel Curves'!$B$12</f>
        <v/>
      </c>
      <c r="BJ6" s="26">
        <f>$AG5*'Cancel Curves'!$AE$12 + $AH5*'Cancel Curves'!$AD$12 + $AI5*'Cancel Curves'!$AC$12 + $AJ5*'Cancel Curves'!$AB$12 + $AK5*'Cancel Curves'!$AA$12 + $AL5*'Cancel Curves'!$Z$12 + $AM5*'Cancel Curves'!$Y$12 + $AN5*'Cancel Curves'!$X$12 + $AO5*'Cancel Curves'!$W$12 + $AP5*'Cancel Curves'!$V$12 + $AQ5*'Cancel Curves'!$U$12 + $AR5*'Cancel Curves'!$T$12 + $AS5*'Cancel Curves'!$S$12 + $AT5*'Cancel Curves'!$R$12 + $AU5*'Cancel Curves'!$Q$12 + $AV5*'Cancel Curves'!$P$12 + $AW5*'Cancel Curves'!$O$12 + $AX5*'Cancel Curves'!$N$12 + $AY5*'Cancel Curves'!$M$12 + $AZ5*'Cancel Curves'!$L$12 + $BA5*'Cancel Curves'!$K$12 + $BB5*'Cancel Curves'!$J$12 + $BC5*'Cancel Curves'!$I$12 + $BD5*'Cancel Curves'!$H$12 + $BE5*'Cancel Curves'!$G$12 + $BF5*'Cancel Curves'!$F$12 + $BG5*'Cancel Curves'!$E$12 + $BH5*'Cancel Curves'!$D$12 + $BI5*'Cancel Curves'!$C$12 + $BJ5*'Cancel Curves'!$B$12</f>
        <v/>
      </c>
      <c r="BK6" s="26">
        <f>$AH5*'Cancel Curves'!$AE$12 + $AI5*'Cancel Curves'!$AD$12 + $AJ5*'Cancel Curves'!$AC$12 + $AK5*'Cancel Curves'!$AB$12 + $AL5*'Cancel Curves'!$AA$12 + $AM5*'Cancel Curves'!$Z$12 + $AN5*'Cancel Curves'!$Y$12 + $AO5*'Cancel Curves'!$X$12 + $AP5*'Cancel Curves'!$W$12 + $AQ5*'Cancel Curves'!$V$12 + $AR5*'Cancel Curves'!$U$12 + $AS5*'Cancel Curves'!$T$12 + $AT5*'Cancel Curves'!$S$12 + $AU5*'Cancel Curves'!$R$12 + $AV5*'Cancel Curves'!$Q$12 + $AW5*'Cancel Curves'!$P$12 + $AX5*'Cancel Curves'!$O$12 + $AY5*'Cancel Curves'!$N$12 + $AZ5*'Cancel Curves'!$M$12 + $BA5*'Cancel Curves'!$L$12 + $BB5*'Cancel Curves'!$K$12 + $BC5*'Cancel Curves'!$J$12 + $BD5*'Cancel Curves'!$I$12 + $BE5*'Cancel Curves'!$H$12 + $BF5*'Cancel Curves'!$G$12 + $BG5*'Cancel Curves'!$F$12 + $BH5*'Cancel Curves'!$E$12 + $BI5*'Cancel Curves'!$D$12 + $BJ5*'Cancel Curves'!$C$12 + $BK5*'Cancel Curves'!$B$12</f>
        <v/>
      </c>
      <c r="BL6" s="26">
        <f>$AI5*'Cancel Curves'!$AE$12 + $AJ5*'Cancel Curves'!$AD$12 + $AK5*'Cancel Curves'!$AC$12 + $AL5*'Cancel Curves'!$AB$12 + $AM5*'Cancel Curves'!$AA$12 + $AN5*'Cancel Curves'!$Z$12 + $AO5*'Cancel Curves'!$Y$12 + $AP5*'Cancel Curves'!$X$12 + $AQ5*'Cancel Curves'!$W$12 + $AR5*'Cancel Curves'!$V$12 + $AS5*'Cancel Curves'!$U$12 + $AT5*'Cancel Curves'!$T$12 + $AU5*'Cancel Curves'!$S$12 + $AV5*'Cancel Curves'!$R$12 + $AW5*'Cancel Curves'!$Q$12 + $AX5*'Cancel Curves'!$P$12 + $AY5*'Cancel Curves'!$O$12 + $AZ5*'Cancel Curves'!$N$12 + $BA5*'Cancel Curves'!$M$12 + $BB5*'Cancel Curves'!$L$12 + $BC5*'Cancel Curves'!$K$12 + $BD5*'Cancel Curves'!$J$12 + $BE5*'Cancel Curves'!$I$12 + $BF5*'Cancel Curves'!$H$12 + $BG5*'Cancel Curves'!$G$12 + $BH5*'Cancel Curves'!$F$12 + $BI5*'Cancel Curves'!$E$12 + $BJ5*'Cancel Curves'!$D$12 + $BK5*'Cancel Curves'!$C$12 + $BL5*'Cancel Curves'!$B$12</f>
        <v/>
      </c>
      <c r="BM6" s="26">
        <f>$AJ5*'Cancel Curves'!$AE$12 + $AK5*'Cancel Curves'!$AD$12 + $AL5*'Cancel Curves'!$AC$12 + $AM5*'Cancel Curves'!$AB$12 + $AN5*'Cancel Curves'!$AA$12 + $AO5*'Cancel Curves'!$Z$12 + $AP5*'Cancel Curves'!$Y$12 + $AQ5*'Cancel Curves'!$X$12 + $AR5*'Cancel Curves'!$W$12 + $AS5*'Cancel Curves'!$V$12 + $AT5*'Cancel Curves'!$U$12 + $AU5*'Cancel Curves'!$T$12 + $AV5*'Cancel Curves'!$S$12 + $AW5*'Cancel Curves'!$R$12 + $AX5*'Cancel Curves'!$Q$12 + $AY5*'Cancel Curves'!$P$12 + $AZ5*'Cancel Curves'!$O$12 + $BA5*'Cancel Curves'!$N$12 + $BB5*'Cancel Curves'!$M$12 + $BC5*'Cancel Curves'!$L$12 + $BD5*'Cancel Curves'!$K$12 + $BE5*'Cancel Curves'!$J$12 + $BF5*'Cancel Curves'!$I$12 + $BG5*'Cancel Curves'!$H$12 + $BH5*'Cancel Curves'!$G$12 + $BI5*'Cancel Curves'!$F$12 + $BJ5*'Cancel Curves'!$E$12 + $BK5*'Cancel Curves'!$D$12 + $BL5*'Cancel Curves'!$C$12 + $BM5*'Cancel Curves'!$B$12</f>
        <v/>
      </c>
      <c r="BN6" s="26">
        <f>$AK5*'Cancel Curves'!$AE$12 + $AL5*'Cancel Curves'!$AD$12 + $AM5*'Cancel Curves'!$AC$12 + $AN5*'Cancel Curves'!$AB$12 + $AO5*'Cancel Curves'!$AA$12 + $AP5*'Cancel Curves'!$Z$12 + $AQ5*'Cancel Curves'!$Y$12 + $AR5*'Cancel Curves'!$X$12 + $AS5*'Cancel Curves'!$W$12 + $AT5*'Cancel Curves'!$V$12 + $AU5*'Cancel Curves'!$U$12 + $AV5*'Cancel Curves'!$T$12 + $AW5*'Cancel Curves'!$S$12 + $AX5*'Cancel Curves'!$R$12 + $AY5*'Cancel Curves'!$Q$12 + $AZ5*'Cancel Curves'!$P$12 + $BA5*'Cancel Curves'!$O$12 + $BB5*'Cancel Curves'!$N$12 + $BC5*'Cancel Curves'!$M$12 + $BD5*'Cancel Curves'!$L$12 + $BE5*'Cancel Curves'!$K$12 + $BF5*'Cancel Curves'!$J$12 + $BG5*'Cancel Curves'!$I$12 + $BH5*'Cancel Curves'!$H$12 + $BI5*'Cancel Curves'!$G$12 + $BJ5*'Cancel Curves'!$F$12 + $BK5*'Cancel Curves'!$E$12 + $BL5*'Cancel Curves'!$D$12 + $BM5*'Cancel Curves'!$C$12 + $BN5*'Cancel Curves'!$B$12</f>
        <v/>
      </c>
      <c r="BO6" s="26">
        <f>$AL5*'Cancel Curves'!$AE$12 + $AM5*'Cancel Curves'!$AD$12 + $AN5*'Cancel Curves'!$AC$12 + $AO5*'Cancel Curves'!$AB$12 + $AP5*'Cancel Curves'!$AA$12 + $AQ5*'Cancel Curves'!$Z$12 + $AR5*'Cancel Curves'!$Y$12 + $AS5*'Cancel Curves'!$X$12 + $AT5*'Cancel Curves'!$W$12 + $AU5*'Cancel Curves'!$V$12 + $AV5*'Cancel Curves'!$U$12 + $AW5*'Cancel Curves'!$T$12 + $AX5*'Cancel Curves'!$S$12 + $AY5*'Cancel Curves'!$R$12 + $AZ5*'Cancel Curves'!$Q$12 + $BA5*'Cancel Curves'!$P$12 + $BB5*'Cancel Curves'!$O$12 + $BC5*'Cancel Curves'!$N$12 + $BD5*'Cancel Curves'!$M$12 + $BE5*'Cancel Curves'!$L$12 + $BF5*'Cancel Curves'!$K$12 + $BG5*'Cancel Curves'!$J$12 + $BH5*'Cancel Curves'!$I$12 + $BI5*'Cancel Curves'!$H$12 + $BJ5*'Cancel Curves'!$G$12 + $BK5*'Cancel Curves'!$F$12 + $BL5*'Cancel Curves'!$E$12 + $BM5*'Cancel Curves'!$D$12 + $BN5*'Cancel Curves'!$C$12 + $BO5*'Cancel Curves'!$B$12</f>
        <v/>
      </c>
      <c r="BP6" s="26">
        <f>$AM5*'Cancel Curves'!$AE$12 + $AN5*'Cancel Curves'!$AD$12 + $AO5*'Cancel Curves'!$AC$12 + $AP5*'Cancel Curves'!$AB$12 + $AQ5*'Cancel Curves'!$AA$12 + $AR5*'Cancel Curves'!$Z$12 + $AS5*'Cancel Curves'!$Y$12 + $AT5*'Cancel Curves'!$X$12 + $AU5*'Cancel Curves'!$W$12 + $AV5*'Cancel Curves'!$V$12 + $AW5*'Cancel Curves'!$U$12 + $AX5*'Cancel Curves'!$T$12 + $AY5*'Cancel Curves'!$S$12 + $AZ5*'Cancel Curves'!$R$12 + $BA5*'Cancel Curves'!$Q$12 + $BB5*'Cancel Curves'!$P$12 + $BC5*'Cancel Curves'!$O$12 + $BD5*'Cancel Curves'!$N$12 + $BE5*'Cancel Curves'!$M$12 + $BF5*'Cancel Curves'!$L$12 + $BG5*'Cancel Curves'!$K$12 + $BH5*'Cancel Curves'!$J$12 + $BI5*'Cancel Curves'!$I$12 + $BJ5*'Cancel Curves'!$H$12 + $BK5*'Cancel Curves'!$G$12 + $BL5*'Cancel Curves'!$F$12 + $BM5*'Cancel Curves'!$E$12 + $BN5*'Cancel Curves'!$D$12 + $BO5*'Cancel Curves'!$C$12 + $BP5*'Cancel Curves'!$B$12</f>
        <v/>
      </c>
      <c r="BQ6" s="26">
        <f>$AN5*'Cancel Curves'!$AE$12 + $AO5*'Cancel Curves'!$AD$12 + $AP5*'Cancel Curves'!$AC$12 + $AQ5*'Cancel Curves'!$AB$12 + $AR5*'Cancel Curves'!$AA$12 + $AS5*'Cancel Curves'!$Z$12 + $AT5*'Cancel Curves'!$Y$12 + $AU5*'Cancel Curves'!$X$12 + $AV5*'Cancel Curves'!$W$12 + $AW5*'Cancel Curves'!$V$12 + $AX5*'Cancel Curves'!$U$12 + $AY5*'Cancel Curves'!$T$12 + $AZ5*'Cancel Curves'!$S$12 + $BA5*'Cancel Curves'!$R$12 + $BB5*'Cancel Curves'!$Q$12 + $BC5*'Cancel Curves'!$P$12 + $BD5*'Cancel Curves'!$O$12 + $BE5*'Cancel Curves'!$N$12 + $BF5*'Cancel Curves'!$M$12 + $BG5*'Cancel Curves'!$L$12 + $BH5*'Cancel Curves'!$K$12 + $BI5*'Cancel Curves'!$J$12 + $BJ5*'Cancel Curves'!$I$12 + $BK5*'Cancel Curves'!$H$12 + $BL5*'Cancel Curves'!$G$12 + $BM5*'Cancel Curves'!$F$12 + $BN5*'Cancel Curves'!$E$12 + $BO5*'Cancel Curves'!$D$12 + $BP5*'Cancel Curves'!$C$12 + $BQ5*'Cancel Curves'!$B$12</f>
        <v/>
      </c>
      <c r="BR6" s="26">
        <f>$AO5*'Cancel Curves'!$AE$12 + $AP5*'Cancel Curves'!$AD$12 + $AQ5*'Cancel Curves'!$AC$12 + $AR5*'Cancel Curves'!$AB$12 + $AS5*'Cancel Curves'!$AA$12 + $AT5*'Cancel Curves'!$Z$12 + $AU5*'Cancel Curves'!$Y$12 + $AV5*'Cancel Curves'!$X$12 + $AW5*'Cancel Curves'!$W$12 + $AX5*'Cancel Curves'!$V$12 + $AY5*'Cancel Curves'!$U$12 + $AZ5*'Cancel Curves'!$T$12 + $BA5*'Cancel Curves'!$S$12 + $BB5*'Cancel Curves'!$R$12 + $BC5*'Cancel Curves'!$Q$12 + $BD5*'Cancel Curves'!$P$12 + $BE5*'Cancel Curves'!$O$12 + $BF5*'Cancel Curves'!$N$12 + $BG5*'Cancel Curves'!$M$12 + $BH5*'Cancel Curves'!$L$12 + $BI5*'Cancel Curves'!$K$12 + $BJ5*'Cancel Curves'!$J$12 + $BK5*'Cancel Curves'!$I$12 + $BL5*'Cancel Curves'!$H$12 + $BM5*'Cancel Curves'!$G$12 + $BN5*'Cancel Curves'!$F$12 + $BO5*'Cancel Curves'!$E$12 + $BP5*'Cancel Curves'!$D$12 + $BQ5*'Cancel Curves'!$C$12 + $BR5*'Cancel Curves'!$B$12</f>
        <v/>
      </c>
      <c r="BS6" s="26">
        <f>$AP5*'Cancel Curves'!$AE$12 + $AQ5*'Cancel Curves'!$AD$12 + $AR5*'Cancel Curves'!$AC$12 + $AS5*'Cancel Curves'!$AB$12 + $AT5*'Cancel Curves'!$AA$12 + $AU5*'Cancel Curves'!$Z$12 + $AV5*'Cancel Curves'!$Y$12 + $AW5*'Cancel Curves'!$X$12 + $AX5*'Cancel Curves'!$W$12 + $AY5*'Cancel Curves'!$V$12 + $AZ5*'Cancel Curves'!$U$12 + $BA5*'Cancel Curves'!$T$12 + $BB5*'Cancel Curves'!$S$12 + $BC5*'Cancel Curves'!$R$12 + $BD5*'Cancel Curves'!$Q$12 + $BE5*'Cancel Curves'!$P$12 + $BF5*'Cancel Curves'!$O$12 + $BG5*'Cancel Curves'!$N$12 + $BH5*'Cancel Curves'!$M$12 + $BI5*'Cancel Curves'!$L$12 + $BJ5*'Cancel Curves'!$K$12 + $BK5*'Cancel Curves'!$J$12 + $BL5*'Cancel Curves'!$I$12 + $BM5*'Cancel Curves'!$H$12 + $BN5*'Cancel Curves'!$G$12 + $BO5*'Cancel Curves'!$F$12 + $BP5*'Cancel Curves'!$E$12 + $BQ5*'Cancel Curves'!$D$12 + $BR5*'Cancel Curves'!$C$12 + $BS5*'Cancel Curves'!$B$12</f>
        <v/>
      </c>
      <c r="BT6" s="26">
        <f>$AQ5*'Cancel Curves'!$AE$12 + $AR5*'Cancel Curves'!$AD$12 + $AS5*'Cancel Curves'!$AC$12 + $AT5*'Cancel Curves'!$AB$12 + $AU5*'Cancel Curves'!$AA$12 + $AV5*'Cancel Curves'!$Z$12 + $AW5*'Cancel Curves'!$Y$12 + $AX5*'Cancel Curves'!$X$12 + $AY5*'Cancel Curves'!$W$12 + $AZ5*'Cancel Curves'!$V$12 + $BA5*'Cancel Curves'!$U$12 + $BB5*'Cancel Curves'!$T$12 + $BC5*'Cancel Curves'!$S$12 + $BD5*'Cancel Curves'!$R$12 + $BE5*'Cancel Curves'!$Q$12 + $BF5*'Cancel Curves'!$P$12 + $BG5*'Cancel Curves'!$O$12 + $BH5*'Cancel Curves'!$N$12 + $BI5*'Cancel Curves'!$M$12 + $BJ5*'Cancel Curves'!$L$12 + $BK5*'Cancel Curves'!$K$12 + $BL5*'Cancel Curves'!$J$12 + $BM5*'Cancel Curves'!$I$12 + $BN5*'Cancel Curves'!$H$12 + $BO5*'Cancel Curves'!$G$12 + $BP5*'Cancel Curves'!$F$12 + $BQ5*'Cancel Curves'!$E$12 + $BR5*'Cancel Curves'!$D$12 + $BS5*'Cancel Curves'!$C$12 + $BT5*'Cancel Curves'!$B$12</f>
        <v/>
      </c>
      <c r="BU6" s="26">
        <f>$AR5*'Cancel Curves'!$AE$12 + $AS5*'Cancel Curves'!$AD$12 + $AT5*'Cancel Curves'!$AC$12 + $AU5*'Cancel Curves'!$AB$12 + $AV5*'Cancel Curves'!$AA$12 + $AW5*'Cancel Curves'!$Z$12 + $AX5*'Cancel Curves'!$Y$12 + $AY5*'Cancel Curves'!$X$12 + $AZ5*'Cancel Curves'!$W$12 + $BA5*'Cancel Curves'!$V$12 + $BB5*'Cancel Curves'!$U$12 + $BC5*'Cancel Curves'!$T$12 + $BD5*'Cancel Curves'!$S$12 + $BE5*'Cancel Curves'!$R$12 + $BF5*'Cancel Curves'!$Q$12 + $BG5*'Cancel Curves'!$P$12 + $BH5*'Cancel Curves'!$O$12 + $BI5*'Cancel Curves'!$N$12 + $BJ5*'Cancel Curves'!$M$12 + $BK5*'Cancel Curves'!$L$12 + $BL5*'Cancel Curves'!$K$12 + $BM5*'Cancel Curves'!$J$12 + $BN5*'Cancel Curves'!$I$12 + $BO5*'Cancel Curves'!$H$12 + $BP5*'Cancel Curves'!$G$12 + $BQ5*'Cancel Curves'!$F$12 + $BR5*'Cancel Curves'!$E$12 + $BS5*'Cancel Curves'!$D$12 + $BT5*'Cancel Curves'!$C$12 + $BU5*'Cancel Curves'!$B$12</f>
        <v/>
      </c>
      <c r="BV6" s="26">
        <f>$AS5*'Cancel Curves'!$AE$12 + $AT5*'Cancel Curves'!$AD$12 + $AU5*'Cancel Curves'!$AC$12 + $AV5*'Cancel Curves'!$AB$12 + $AW5*'Cancel Curves'!$AA$12 + $AX5*'Cancel Curves'!$Z$12 + $AY5*'Cancel Curves'!$Y$12 + $AZ5*'Cancel Curves'!$X$12 + $BA5*'Cancel Curves'!$W$12 + $BB5*'Cancel Curves'!$V$12 + $BC5*'Cancel Curves'!$U$12 + $BD5*'Cancel Curves'!$T$12 + $BE5*'Cancel Curves'!$S$12 + $BF5*'Cancel Curves'!$R$12 + $BG5*'Cancel Curves'!$Q$12 + $BH5*'Cancel Curves'!$P$12 + $BI5*'Cancel Curves'!$O$12 + $BJ5*'Cancel Curves'!$N$12 + $BK5*'Cancel Curves'!$M$12 + $BL5*'Cancel Curves'!$L$12 + $BM5*'Cancel Curves'!$K$12 + $BN5*'Cancel Curves'!$J$12 + $BO5*'Cancel Curves'!$I$12 + $BP5*'Cancel Curves'!$H$12 + $BQ5*'Cancel Curves'!$G$12 + $BR5*'Cancel Curves'!$F$12 + $BS5*'Cancel Curves'!$E$12 + $BT5*'Cancel Curves'!$D$12 + $BU5*'Cancel Curves'!$C$12 + $BV5*'Cancel Curves'!$B$12</f>
        <v/>
      </c>
      <c r="BW6" s="26">
        <f>$AT5*'Cancel Curves'!$AE$12 + $AU5*'Cancel Curves'!$AD$12 + $AV5*'Cancel Curves'!$AC$12 + $AW5*'Cancel Curves'!$AB$12 + $AX5*'Cancel Curves'!$AA$12 + $AY5*'Cancel Curves'!$Z$12 + $AZ5*'Cancel Curves'!$Y$12 + $BA5*'Cancel Curves'!$X$12 + $BB5*'Cancel Curves'!$W$12 + $BC5*'Cancel Curves'!$V$12 + $BD5*'Cancel Curves'!$U$12 + $BE5*'Cancel Curves'!$T$12 + $BF5*'Cancel Curves'!$S$12 + $BG5*'Cancel Curves'!$R$12 + $BH5*'Cancel Curves'!$Q$12 + $BI5*'Cancel Curves'!$P$12 + $BJ5*'Cancel Curves'!$O$12 + $BK5*'Cancel Curves'!$N$12 + $BL5*'Cancel Curves'!$M$12 + $BM5*'Cancel Curves'!$L$12 + $BN5*'Cancel Curves'!$K$12 + $BO5*'Cancel Curves'!$J$12 + $BP5*'Cancel Curves'!$I$12 + $BQ5*'Cancel Curves'!$H$12 + $BR5*'Cancel Curves'!$G$12 + $BS5*'Cancel Curves'!$F$12 + $BT5*'Cancel Curves'!$E$12 + $BU5*'Cancel Curves'!$D$12 + $BV5*'Cancel Curves'!$C$12 + $BW5*'Cancel Curves'!$B$12</f>
        <v/>
      </c>
    </row>
    <row r="7">
      <c r="A7" s="1" t="inlineStr">
        <is>
          <t>Active contracts (start of period)</t>
        </is>
      </c>
      <c r="C7" s="15" t="n">
        <v>0</v>
      </c>
    </row>
    <row r="8">
      <c r="A8" s="1" t="inlineStr">
        <is>
          <t>Cancels (period)</t>
        </is>
      </c>
      <c r="D8" s="26">
        <f>C6+D5-D6</f>
        <v/>
      </c>
      <c r="E8" s="26">
        <f>D6+E5-E6</f>
        <v/>
      </c>
      <c r="F8" s="26">
        <f>E6+F5-F6</f>
        <v/>
      </c>
      <c r="G8" s="26">
        <f>F6+G5-G6</f>
        <v/>
      </c>
      <c r="H8" s="26">
        <f>G6+H5-H6</f>
        <v/>
      </c>
      <c r="I8" s="26">
        <f>H6+I5-I6</f>
        <v/>
      </c>
      <c r="J8" s="26">
        <f>I6+J5-J6</f>
        <v/>
      </c>
      <c r="K8" s="26">
        <f>J6+K5-K6</f>
        <v/>
      </c>
      <c r="L8" s="26">
        <f>K6+L5-L6</f>
        <v/>
      </c>
      <c r="M8" s="26">
        <f>L6+M5-M6</f>
        <v/>
      </c>
      <c r="N8" s="26">
        <f>M6+N5-N6</f>
        <v/>
      </c>
      <c r="O8" s="26">
        <f>N6+O5-O6</f>
        <v/>
      </c>
      <c r="P8" s="26">
        <f>O6+P5-P6</f>
        <v/>
      </c>
      <c r="Q8" s="26">
        <f>P6+Q5-Q6</f>
        <v/>
      </c>
      <c r="R8" s="26">
        <f>Q6+R5-R6</f>
        <v/>
      </c>
      <c r="S8" s="26">
        <f>R6+S5-S6</f>
        <v/>
      </c>
      <c r="T8" s="26">
        <f>S6+T5-T6</f>
        <v/>
      </c>
      <c r="U8" s="26">
        <f>T6+U5-U6</f>
        <v/>
      </c>
      <c r="V8" s="26">
        <f>U6+V5-V6</f>
        <v/>
      </c>
      <c r="W8" s="26">
        <f>V6+W5-W6</f>
        <v/>
      </c>
      <c r="X8" s="26">
        <f>W6+X5-X6</f>
        <v/>
      </c>
      <c r="Y8" s="26">
        <f>X6+Y5-Y6</f>
        <v/>
      </c>
      <c r="Z8" s="26">
        <f>Y6+Z5-Z6</f>
        <v/>
      </c>
      <c r="AA8" s="26">
        <f>Z6+AA5-AA6</f>
        <v/>
      </c>
      <c r="AB8" s="26">
        <f>AA6+AB5-AB6</f>
        <v/>
      </c>
      <c r="AC8" s="26">
        <f>AB6+AC5-AC6</f>
        <v/>
      </c>
      <c r="AD8" s="26">
        <f>AC6+AD5-AD6</f>
        <v/>
      </c>
      <c r="AE8" s="26">
        <f>AD6+AE5-AE6</f>
        <v/>
      </c>
      <c r="AF8" s="26">
        <f>AE6+AF5-AF6</f>
        <v/>
      </c>
      <c r="AG8" s="26">
        <f>AF6+AG5-AG6</f>
        <v/>
      </c>
      <c r="AH8" s="26">
        <f>AG6+AH5-AH6</f>
        <v/>
      </c>
      <c r="AI8" s="26">
        <f>AH6+AI5-AI6</f>
        <v/>
      </c>
      <c r="AJ8" s="26">
        <f>AI6+AJ5-AJ6</f>
        <v/>
      </c>
      <c r="AK8" s="26">
        <f>AJ6+AK5-AK6</f>
        <v/>
      </c>
      <c r="AL8" s="26">
        <f>AK6+AL5-AL6</f>
        <v/>
      </c>
      <c r="AM8" s="26">
        <f>AL6+AM5-AM6</f>
        <v/>
      </c>
      <c r="AN8" s="26">
        <f>AM6+AN5-AN6</f>
        <v/>
      </c>
      <c r="AO8" s="26">
        <f>AN6+AO5-AO6</f>
        <v/>
      </c>
      <c r="AP8" s="26">
        <f>AO6+AP5-AP6</f>
        <v/>
      </c>
      <c r="AQ8" s="26">
        <f>AP6+AQ5-AQ6</f>
        <v/>
      </c>
      <c r="AR8" s="26">
        <f>AQ6+AR5-AR6</f>
        <v/>
      </c>
      <c r="AS8" s="26">
        <f>AR6+AS5-AS6</f>
        <v/>
      </c>
      <c r="AT8" s="26">
        <f>AS6+AT5-AT6</f>
        <v/>
      </c>
      <c r="AU8" s="26">
        <f>AT6+AU5-AU6</f>
        <v/>
      </c>
      <c r="AV8" s="26">
        <f>AU6+AV5-AV6</f>
        <v/>
      </c>
      <c r="AW8" s="26">
        <f>AV6+AW5-AW6</f>
        <v/>
      </c>
      <c r="AX8" s="26">
        <f>AW6+AX5-AX6</f>
        <v/>
      </c>
      <c r="AY8" s="26">
        <f>AX6+AY5-AY6</f>
        <v/>
      </c>
      <c r="AZ8" s="26">
        <f>AY6+AZ5-AZ6</f>
        <v/>
      </c>
      <c r="BA8" s="26">
        <f>AZ6+BA5-BA6</f>
        <v/>
      </c>
      <c r="BB8" s="26">
        <f>BA6+BB5-BB6</f>
        <v/>
      </c>
      <c r="BC8" s="26">
        <f>BB6+BC5-BC6</f>
        <v/>
      </c>
      <c r="BD8" s="26">
        <f>BC6+BD5-BD6</f>
        <v/>
      </c>
      <c r="BE8" s="26">
        <f>BD6+BE5-BE6</f>
        <v/>
      </c>
      <c r="BF8" s="26">
        <f>BE6+BF5-BF6</f>
        <v/>
      </c>
      <c r="BG8" s="26">
        <f>BF6+BG5-BG6</f>
        <v/>
      </c>
      <c r="BH8" s="26">
        <f>BG6+BH5-BH6</f>
        <v/>
      </c>
      <c r="BI8" s="26">
        <f>BH6+BI5-BI6</f>
        <v/>
      </c>
      <c r="BJ8" s="26">
        <f>BI6+BJ5-BJ6</f>
        <v/>
      </c>
      <c r="BK8" s="26">
        <f>BJ6+BK5-BK6</f>
        <v/>
      </c>
      <c r="BL8" s="26">
        <f>BK6+BL5-BL6</f>
        <v/>
      </c>
      <c r="BM8" s="26">
        <f>BL6+BM5-BM6</f>
        <v/>
      </c>
      <c r="BN8" s="26">
        <f>BM6+BN5-BN6</f>
        <v/>
      </c>
      <c r="BO8" s="26">
        <f>BN6+BO5-BO6</f>
        <v/>
      </c>
      <c r="BP8" s="26">
        <f>BO6+BP5-BP6</f>
        <v/>
      </c>
      <c r="BQ8" s="26">
        <f>BP6+BQ5-BQ6</f>
        <v/>
      </c>
      <c r="BR8" s="26">
        <f>BQ6+BR5-BR6</f>
        <v/>
      </c>
      <c r="BS8" s="26">
        <f>BR6+BS5-BS6</f>
        <v/>
      </c>
      <c r="BT8" s="26">
        <f>BS6+BT5-BT6</f>
        <v/>
      </c>
      <c r="BU8" s="26">
        <f>BT6+BU5-BU6</f>
        <v/>
      </c>
      <c r="BV8" s="26">
        <f>BU6+BV5-BV6</f>
        <v/>
      </c>
      <c r="BW8" s="26">
        <f>BV6+BW5-BW6</f>
        <v/>
      </c>
    </row>
    <row r="10">
      <c r="A10" s="97" t="inlineStr">
        <is>
          <t>REVENUE</t>
        </is>
      </c>
    </row>
    <row r="11">
      <c r="A11" s="1" t="inlineStr">
        <is>
          <t>Monthly contract value (active × CPS)</t>
        </is>
      </c>
    </row>
    <row r="12">
      <c r="A12" t="inlineStr">
        <is>
          <t xml:space="preserve">  CPS (customer payment per service)</t>
        </is>
      </c>
      <c r="D12" s="27">
        <f>Assumptions!$B$17*(1+Assumptions!$B$9)^0</f>
        <v/>
      </c>
      <c r="E12" s="27">
        <f>Assumptions!$B$17*(1+Assumptions!$B$9)^0</f>
        <v/>
      </c>
      <c r="F12" s="27">
        <f>Assumptions!$B$17*(1+Assumptions!$B$9)^0</f>
        <v/>
      </c>
      <c r="G12" s="27">
        <f>Assumptions!$B$17*(1+Assumptions!$B$9)^0</f>
        <v/>
      </c>
      <c r="H12" s="27">
        <f>Assumptions!$B$17*(1+Assumptions!$B$9)^0</f>
        <v/>
      </c>
      <c r="I12" s="27">
        <f>Assumptions!$B$17*(1+Assumptions!$B$9)^0</f>
        <v/>
      </c>
      <c r="J12" s="27">
        <f>Assumptions!$B$17*(1+Assumptions!$B$9)^0</f>
        <v/>
      </c>
      <c r="K12" s="27">
        <f>Assumptions!$B$17*(1+Assumptions!$B$9)^0</f>
        <v/>
      </c>
      <c r="L12" s="27">
        <f>Assumptions!$B$17*(1+Assumptions!$B$9)^0</f>
        <v/>
      </c>
      <c r="M12" s="27">
        <f>Assumptions!$B$17*(1+Assumptions!$B$9)^0</f>
        <v/>
      </c>
      <c r="N12" s="27">
        <f>Assumptions!$B$17*(1+Assumptions!$B$9)^0</f>
        <v/>
      </c>
      <c r="O12" s="27">
        <f>Assumptions!$B$17*(1+Assumptions!$B$9)^0</f>
        <v/>
      </c>
      <c r="P12" s="27">
        <f>Assumptions!$B$17*(1+Assumptions!$B$9)^1</f>
        <v/>
      </c>
      <c r="Q12" s="27">
        <f>Assumptions!$B$17*(1+Assumptions!$B$9)^1</f>
        <v/>
      </c>
      <c r="R12" s="27">
        <f>Assumptions!$B$17*(1+Assumptions!$B$9)^1</f>
        <v/>
      </c>
      <c r="S12" s="27">
        <f>Assumptions!$B$17*(1+Assumptions!$B$9)^1</f>
        <v/>
      </c>
      <c r="T12" s="27">
        <f>Assumptions!$B$17*(1+Assumptions!$B$9)^1</f>
        <v/>
      </c>
      <c r="U12" s="27">
        <f>Assumptions!$B$17*(1+Assumptions!$B$9)^1</f>
        <v/>
      </c>
      <c r="V12" s="27">
        <f>Assumptions!$B$17*(1+Assumptions!$B$9)^1</f>
        <v/>
      </c>
      <c r="W12" s="27">
        <f>Assumptions!$B$17*(1+Assumptions!$B$9)^1</f>
        <v/>
      </c>
      <c r="X12" s="27">
        <f>Assumptions!$B$17*(1+Assumptions!$B$9)^1</f>
        <v/>
      </c>
      <c r="Y12" s="27">
        <f>Assumptions!$B$17*(1+Assumptions!$B$9)^1</f>
        <v/>
      </c>
      <c r="Z12" s="27">
        <f>Assumptions!$B$17*(1+Assumptions!$B$9)^1</f>
        <v/>
      </c>
      <c r="AA12" s="27">
        <f>Assumptions!$B$17*(1+Assumptions!$B$9)^1</f>
        <v/>
      </c>
      <c r="AB12" s="27">
        <f>Assumptions!$B$17*(1+Assumptions!$B$9)^2</f>
        <v/>
      </c>
      <c r="AC12" s="27">
        <f>Assumptions!$B$17*(1+Assumptions!$B$9)^2</f>
        <v/>
      </c>
      <c r="AD12" s="27">
        <f>Assumptions!$B$17*(1+Assumptions!$B$9)^2</f>
        <v/>
      </c>
      <c r="AE12" s="27">
        <f>Assumptions!$B$17*(1+Assumptions!$B$9)^2</f>
        <v/>
      </c>
      <c r="AF12" s="27">
        <f>Assumptions!$B$17*(1+Assumptions!$B$9)^2</f>
        <v/>
      </c>
      <c r="AG12" s="27">
        <f>Assumptions!$B$17*(1+Assumptions!$B$9)^2</f>
        <v/>
      </c>
      <c r="AH12" s="27">
        <f>Assumptions!$B$17*(1+Assumptions!$B$9)^2</f>
        <v/>
      </c>
      <c r="AI12" s="27">
        <f>Assumptions!$B$17*(1+Assumptions!$B$9)^2</f>
        <v/>
      </c>
      <c r="AJ12" s="27">
        <f>Assumptions!$B$17*(1+Assumptions!$B$9)^2</f>
        <v/>
      </c>
      <c r="AK12" s="27">
        <f>Assumptions!$B$17*(1+Assumptions!$B$9)^2</f>
        <v/>
      </c>
      <c r="AL12" s="27">
        <f>Assumptions!$B$17*(1+Assumptions!$B$9)^2</f>
        <v/>
      </c>
      <c r="AM12" s="27">
        <f>Assumptions!$B$17*(1+Assumptions!$B$9)^2</f>
        <v/>
      </c>
      <c r="AN12" s="27">
        <f>Assumptions!$B$17*(1+Assumptions!$B$9)^3</f>
        <v/>
      </c>
      <c r="AO12" s="27">
        <f>Assumptions!$B$17*(1+Assumptions!$B$9)^3</f>
        <v/>
      </c>
      <c r="AP12" s="27">
        <f>Assumptions!$B$17*(1+Assumptions!$B$9)^3</f>
        <v/>
      </c>
      <c r="AQ12" s="27">
        <f>Assumptions!$B$17*(1+Assumptions!$B$9)^3</f>
        <v/>
      </c>
      <c r="AR12" s="27">
        <f>Assumptions!$B$17*(1+Assumptions!$B$9)^3</f>
        <v/>
      </c>
      <c r="AS12" s="27">
        <f>Assumptions!$B$17*(1+Assumptions!$B$9)^3</f>
        <v/>
      </c>
      <c r="AT12" s="27">
        <f>Assumptions!$B$17*(1+Assumptions!$B$9)^3</f>
        <v/>
      </c>
      <c r="AU12" s="27">
        <f>Assumptions!$B$17*(1+Assumptions!$B$9)^3</f>
        <v/>
      </c>
      <c r="AV12" s="27">
        <f>Assumptions!$B$17*(1+Assumptions!$B$9)^3</f>
        <v/>
      </c>
      <c r="AW12" s="27">
        <f>Assumptions!$B$17*(1+Assumptions!$B$9)^3</f>
        <v/>
      </c>
      <c r="AX12" s="27">
        <f>Assumptions!$B$17*(1+Assumptions!$B$9)^3</f>
        <v/>
      </c>
      <c r="AY12" s="27">
        <f>Assumptions!$B$17*(1+Assumptions!$B$9)^3</f>
        <v/>
      </c>
      <c r="AZ12" s="27">
        <f>Assumptions!$B$17*(1+Assumptions!$B$9)^4</f>
        <v/>
      </c>
      <c r="BA12" s="27">
        <f>Assumptions!$B$17*(1+Assumptions!$B$9)^4</f>
        <v/>
      </c>
      <c r="BB12" s="27">
        <f>Assumptions!$B$17*(1+Assumptions!$B$9)^4</f>
        <v/>
      </c>
      <c r="BC12" s="27">
        <f>Assumptions!$B$17*(1+Assumptions!$B$9)^4</f>
        <v/>
      </c>
      <c r="BD12" s="27">
        <f>Assumptions!$B$17*(1+Assumptions!$B$9)^4</f>
        <v/>
      </c>
      <c r="BE12" s="27">
        <f>Assumptions!$B$17*(1+Assumptions!$B$9)^4</f>
        <v/>
      </c>
      <c r="BF12" s="27">
        <f>Assumptions!$B$17*(1+Assumptions!$B$9)^4</f>
        <v/>
      </c>
      <c r="BG12" s="27">
        <f>Assumptions!$B$17*(1+Assumptions!$B$9)^4</f>
        <v/>
      </c>
      <c r="BH12" s="27">
        <f>Assumptions!$B$17*(1+Assumptions!$B$9)^4</f>
        <v/>
      </c>
      <c r="BI12" s="27">
        <f>Assumptions!$B$17*(1+Assumptions!$B$9)^4</f>
        <v/>
      </c>
      <c r="BJ12" s="27">
        <f>Assumptions!$B$17*(1+Assumptions!$B$9)^4</f>
        <v/>
      </c>
      <c r="BK12" s="27">
        <f>Assumptions!$B$17*(1+Assumptions!$B$9)^4</f>
        <v/>
      </c>
      <c r="BL12" s="27">
        <f>Assumptions!$B$17*(1+Assumptions!$B$9)^5</f>
        <v/>
      </c>
      <c r="BM12" s="27">
        <f>Assumptions!$B$17*(1+Assumptions!$B$9)^5</f>
        <v/>
      </c>
      <c r="BN12" s="27">
        <f>Assumptions!$B$17*(1+Assumptions!$B$9)^5</f>
        <v/>
      </c>
      <c r="BO12" s="27">
        <f>Assumptions!$B$17*(1+Assumptions!$B$9)^5</f>
        <v/>
      </c>
      <c r="BP12" s="27">
        <f>Assumptions!$B$17*(1+Assumptions!$B$9)^5</f>
        <v/>
      </c>
      <c r="BQ12" s="27">
        <f>Assumptions!$B$17*(1+Assumptions!$B$9)^5</f>
        <v/>
      </c>
      <c r="BR12" s="27">
        <f>Assumptions!$B$17*(1+Assumptions!$B$9)^5</f>
        <v/>
      </c>
      <c r="BS12" s="27">
        <f>Assumptions!$B$17*(1+Assumptions!$B$9)^5</f>
        <v/>
      </c>
      <c r="BT12" s="27">
        <f>Assumptions!$B$17*(1+Assumptions!$B$9)^5</f>
        <v/>
      </c>
      <c r="BU12" s="27">
        <f>Assumptions!$B$17*(1+Assumptions!$B$9)^5</f>
        <v/>
      </c>
      <c r="BV12" s="27">
        <f>Assumptions!$B$17*(1+Assumptions!$B$9)^5</f>
        <v/>
      </c>
      <c r="BW12" s="27">
        <f>Assumptions!$B$17*(1+Assumptions!$B$9)^5</f>
        <v/>
      </c>
    </row>
    <row r="13">
      <c r="A13" s="87" t="inlineStr">
        <is>
          <t>Subscription revenue (CPS + IAA amort.)</t>
        </is>
      </c>
      <c r="D13" s="77">
        <f>D6*D12 + ($D$5*'Cancel Curves'!$B$12 + 58*'Cancel Curves'!$M$12 + 169*'Cancel Curves'!$L$12 + 264*'Cancel Curves'!$K$12 + 287*'Cancel Curves'!$J$12 + 306*'Cancel Curves'!$I$12 + 296*'Cancel Curves'!$H$12 + 265*'Cancel Curves'!$G$12 + 350*'Cancel Curves'!$F$12 + 554*'Cancel Curves'!$E$12 + 555*'Cancel Curves'!$D$12 + 555*'Cancel Curves'!$C$12)*Assumptions!$B$76</f>
        <v/>
      </c>
      <c r="E13" s="77">
        <f>E6*E12 + ($D$5*'Cancel Curves'!$C$12 + $E$5*'Cancel Curves'!$B$12 + 169*'Cancel Curves'!$M$12 + 264*'Cancel Curves'!$L$12 + 287*'Cancel Curves'!$K$12 + 306*'Cancel Curves'!$J$12 + 296*'Cancel Curves'!$I$12 + 265*'Cancel Curves'!$H$12 + 350*'Cancel Curves'!$G$12 + 554*'Cancel Curves'!$F$12 + 555*'Cancel Curves'!$E$12 + 555*'Cancel Curves'!$D$12)*Assumptions!$B$76</f>
        <v/>
      </c>
      <c r="F13" s="77">
        <f>F6*F12 + ($D$5*'Cancel Curves'!$D$12 + $E$5*'Cancel Curves'!$C$12 + $F$5*'Cancel Curves'!$B$12 + 264*'Cancel Curves'!$M$12 + 287*'Cancel Curves'!$L$12 + 306*'Cancel Curves'!$K$12 + 296*'Cancel Curves'!$J$12 + 265*'Cancel Curves'!$I$12 + 350*'Cancel Curves'!$H$12 + 554*'Cancel Curves'!$G$12 + 555*'Cancel Curves'!$F$12 + 555*'Cancel Curves'!$E$12)*Assumptions!$B$76</f>
        <v/>
      </c>
      <c r="G13" s="77">
        <f>G6*G12 + ($D$5*'Cancel Curves'!$E$12 + $E$5*'Cancel Curves'!$D$12 + $F$5*'Cancel Curves'!$C$12 + $G$5*'Cancel Curves'!$B$12 + 287*'Cancel Curves'!$M$12 + 306*'Cancel Curves'!$L$12 + 296*'Cancel Curves'!$K$12 + 265*'Cancel Curves'!$J$12 + 350*'Cancel Curves'!$I$12 + 554*'Cancel Curves'!$H$12 + 555*'Cancel Curves'!$G$12 + 555*'Cancel Curves'!$F$12)*Assumptions!$B$76</f>
        <v/>
      </c>
      <c r="H13" s="77">
        <f>H6*H12 + ($D$5*'Cancel Curves'!$F$12 + $E$5*'Cancel Curves'!$E$12 + $F$5*'Cancel Curves'!$D$12 + $G$5*'Cancel Curves'!$C$12 + $H$5*'Cancel Curves'!$B$12 + 306*'Cancel Curves'!$M$12 + 296*'Cancel Curves'!$L$12 + 265*'Cancel Curves'!$K$12 + 350*'Cancel Curves'!$J$12 + 554*'Cancel Curves'!$I$12 + 555*'Cancel Curves'!$H$12 + 555*'Cancel Curves'!$G$12)*Assumptions!$B$76</f>
        <v/>
      </c>
      <c r="I13" s="77">
        <f>I6*I12 + ($D$5*'Cancel Curves'!$G$12 + $E$5*'Cancel Curves'!$F$12 + $F$5*'Cancel Curves'!$E$12 + $G$5*'Cancel Curves'!$D$12 + $H$5*'Cancel Curves'!$C$12 + $I$5*'Cancel Curves'!$B$12 + 296*'Cancel Curves'!$M$12 + 265*'Cancel Curves'!$L$12 + 350*'Cancel Curves'!$K$12 + 554*'Cancel Curves'!$J$12 + 555*'Cancel Curves'!$I$12 + 555*'Cancel Curves'!$H$12)*Assumptions!$B$76</f>
        <v/>
      </c>
      <c r="J13" s="77">
        <f>J6*J12 + ($D$5*'Cancel Curves'!$H$12 + $E$5*'Cancel Curves'!$G$12 + $F$5*'Cancel Curves'!$F$12 + $G$5*'Cancel Curves'!$E$12 + $H$5*'Cancel Curves'!$D$12 + $I$5*'Cancel Curves'!$C$12 + $J$5*'Cancel Curves'!$B$12 + 265*'Cancel Curves'!$M$12 + 350*'Cancel Curves'!$L$12 + 554*'Cancel Curves'!$K$12 + 555*'Cancel Curves'!$J$12 + 555*'Cancel Curves'!$I$12)*Assumptions!$B$76</f>
        <v/>
      </c>
      <c r="K13" s="77">
        <f>K6*K12 + ($D$5*'Cancel Curves'!$I$12 + $E$5*'Cancel Curves'!$H$12 + $F$5*'Cancel Curves'!$G$12 + $G$5*'Cancel Curves'!$F$12 + $H$5*'Cancel Curves'!$E$12 + $I$5*'Cancel Curves'!$D$12 + $J$5*'Cancel Curves'!$C$12 + $K$5*'Cancel Curves'!$B$12 + 350*'Cancel Curves'!$M$12 + 554*'Cancel Curves'!$L$12 + 555*'Cancel Curves'!$K$12 + 555*'Cancel Curves'!$J$12)*Assumptions!$B$76</f>
        <v/>
      </c>
      <c r="L13" s="77">
        <f>L6*L12 + ($D$5*'Cancel Curves'!$J$12 + $E$5*'Cancel Curves'!$I$12 + $F$5*'Cancel Curves'!$H$12 + $G$5*'Cancel Curves'!$G$12 + $H$5*'Cancel Curves'!$F$12 + $I$5*'Cancel Curves'!$E$12 + $J$5*'Cancel Curves'!$D$12 + $K$5*'Cancel Curves'!$C$12 + $L$5*'Cancel Curves'!$B$12 + 554*'Cancel Curves'!$M$12 + 555*'Cancel Curves'!$L$12 + 555*'Cancel Curves'!$K$12)*Assumptions!$B$76</f>
        <v/>
      </c>
      <c r="M13" s="77">
        <f>M6*M12 + ($D$5*'Cancel Curves'!$K$12 + $E$5*'Cancel Curves'!$J$12 + $F$5*'Cancel Curves'!$I$12 + $G$5*'Cancel Curves'!$H$12 + $H$5*'Cancel Curves'!$G$12 + $I$5*'Cancel Curves'!$F$12 + $J$5*'Cancel Curves'!$E$12 + $K$5*'Cancel Curves'!$D$12 + $L$5*'Cancel Curves'!$C$12 + $M$5*'Cancel Curves'!$B$12 + 555*'Cancel Curves'!$M$12 + 555*'Cancel Curves'!$L$12)*Assumptions!$B$76</f>
        <v/>
      </c>
      <c r="N13" s="77">
        <f>N6*N12 + ($D$5*'Cancel Curves'!$L$12 + $E$5*'Cancel Curves'!$K$12 + $F$5*'Cancel Curves'!$J$12 + $G$5*'Cancel Curves'!$I$12 + $H$5*'Cancel Curves'!$H$12 + $I$5*'Cancel Curves'!$G$12 + $J$5*'Cancel Curves'!$F$12 + $K$5*'Cancel Curves'!$E$12 + $L$5*'Cancel Curves'!$D$12 + $M$5*'Cancel Curves'!$C$12 + $N$5*'Cancel Curves'!$B$12 + 555*'Cancel Curves'!$M$12)*Assumptions!$B$76</f>
        <v/>
      </c>
      <c r="O13" s="77">
        <f>O6*O12 + ($D$5*'Cancel Curves'!$M$12 + $E$5*'Cancel Curves'!$L$12 + $F$5*'Cancel Curves'!$K$12 + $G$5*'Cancel Curves'!$J$12 + $H$5*'Cancel Curves'!$I$12 + $I$5*'Cancel Curves'!$H$12 + $J$5*'Cancel Curves'!$G$12 + $K$5*'Cancel Curves'!$F$12 + $L$5*'Cancel Curves'!$E$12 + $M$5*'Cancel Curves'!$D$12 + $N$5*'Cancel Curves'!$C$12 + $O$5*'Cancel Curves'!$B$12)*Assumptions!$B$76</f>
        <v/>
      </c>
      <c r="P13" s="77">
        <f>P6*P12 + ($E$5*'Cancel Curves'!$M$12 + $F$5*'Cancel Curves'!$L$12 + $G$5*'Cancel Curves'!$K$12 + $H$5*'Cancel Curves'!$J$12 + $I$5*'Cancel Curves'!$I$12 + $J$5*'Cancel Curves'!$H$12 + $K$5*'Cancel Curves'!$G$12 + $L$5*'Cancel Curves'!$F$12 + $M$5*'Cancel Curves'!$E$12 + $N$5*'Cancel Curves'!$D$12 + $O$5*'Cancel Curves'!$C$12 + $P$5*'Cancel Curves'!$B$12)*Assumptions!$B$76</f>
        <v/>
      </c>
      <c r="Q13" s="77">
        <f>Q6*Q12 + ($F$5*'Cancel Curves'!$M$12 + $G$5*'Cancel Curves'!$L$12 + $H$5*'Cancel Curves'!$K$12 + $I$5*'Cancel Curves'!$J$12 + $J$5*'Cancel Curves'!$I$12 + $K$5*'Cancel Curves'!$H$12 + $L$5*'Cancel Curves'!$G$12 + $M$5*'Cancel Curves'!$F$12 + $N$5*'Cancel Curves'!$E$12 + $O$5*'Cancel Curves'!$D$12 + $P$5*'Cancel Curves'!$C$12 + $Q$5*'Cancel Curves'!$B$12)*Assumptions!$B$76</f>
        <v/>
      </c>
      <c r="R13" s="77">
        <f>R6*R12 + ($G$5*'Cancel Curves'!$M$12 + $H$5*'Cancel Curves'!$L$12 + $I$5*'Cancel Curves'!$K$12 + $J$5*'Cancel Curves'!$J$12 + $K$5*'Cancel Curves'!$I$12 + $L$5*'Cancel Curves'!$H$12 + $M$5*'Cancel Curves'!$G$12 + $N$5*'Cancel Curves'!$F$12 + $O$5*'Cancel Curves'!$E$12 + $P$5*'Cancel Curves'!$D$12 + $Q$5*'Cancel Curves'!$C$12 + $R$5*'Cancel Curves'!$B$12)*Assumptions!$B$76</f>
        <v/>
      </c>
      <c r="S13" s="77">
        <f>S6*S12 + ($H$5*'Cancel Curves'!$M$12 + $I$5*'Cancel Curves'!$L$12 + $J$5*'Cancel Curves'!$K$12 + $K$5*'Cancel Curves'!$J$12 + $L$5*'Cancel Curves'!$I$12 + $M$5*'Cancel Curves'!$H$12 + $N$5*'Cancel Curves'!$G$12 + $O$5*'Cancel Curves'!$F$12 + $P$5*'Cancel Curves'!$E$12 + $Q$5*'Cancel Curves'!$D$12 + $R$5*'Cancel Curves'!$C$12 + $S$5*'Cancel Curves'!$B$12)*Assumptions!$B$76</f>
        <v/>
      </c>
      <c r="T13" s="77">
        <f>T6*T12 + ($I$5*'Cancel Curves'!$M$12 + $J$5*'Cancel Curves'!$L$12 + $K$5*'Cancel Curves'!$K$12 + $L$5*'Cancel Curves'!$J$12 + $M$5*'Cancel Curves'!$I$12 + $N$5*'Cancel Curves'!$H$12 + $O$5*'Cancel Curves'!$G$12 + $P$5*'Cancel Curves'!$F$12 + $Q$5*'Cancel Curves'!$E$12 + $R$5*'Cancel Curves'!$D$12 + $S$5*'Cancel Curves'!$C$12 + $T$5*'Cancel Curves'!$B$12)*Assumptions!$B$76</f>
        <v/>
      </c>
      <c r="U13" s="77">
        <f>U6*U12 + ($J$5*'Cancel Curves'!$M$12 + $K$5*'Cancel Curves'!$L$12 + $L$5*'Cancel Curves'!$K$12 + $M$5*'Cancel Curves'!$J$12 + $N$5*'Cancel Curves'!$I$12 + $O$5*'Cancel Curves'!$H$12 + $P$5*'Cancel Curves'!$G$12 + $Q$5*'Cancel Curves'!$F$12 + $R$5*'Cancel Curves'!$E$12 + $S$5*'Cancel Curves'!$D$12 + $T$5*'Cancel Curves'!$C$12 + $U$5*'Cancel Curves'!$B$12)*Assumptions!$B$76</f>
        <v/>
      </c>
      <c r="V13" s="77">
        <f>V6*V12 + ($K$5*'Cancel Curves'!$M$12 + $L$5*'Cancel Curves'!$L$12 + $M$5*'Cancel Curves'!$K$12 + $N$5*'Cancel Curves'!$J$12 + $O$5*'Cancel Curves'!$I$12 + $P$5*'Cancel Curves'!$H$12 + $Q$5*'Cancel Curves'!$G$12 + $R$5*'Cancel Curves'!$F$12 + $S$5*'Cancel Curves'!$E$12 + $T$5*'Cancel Curves'!$D$12 + $U$5*'Cancel Curves'!$C$12 + $V$5*'Cancel Curves'!$B$12)*Assumptions!$B$76</f>
        <v/>
      </c>
      <c r="W13" s="77">
        <f>W6*W12 + ($L$5*'Cancel Curves'!$M$12 + $M$5*'Cancel Curves'!$L$12 + $N$5*'Cancel Curves'!$K$12 + $O$5*'Cancel Curves'!$J$12 + $P$5*'Cancel Curves'!$I$12 + $Q$5*'Cancel Curves'!$H$12 + $R$5*'Cancel Curves'!$G$12 + $S$5*'Cancel Curves'!$F$12 + $T$5*'Cancel Curves'!$E$12 + $U$5*'Cancel Curves'!$D$12 + $V$5*'Cancel Curves'!$C$12 + $W$5*'Cancel Curves'!$B$12)*Assumptions!$B$76</f>
        <v/>
      </c>
      <c r="X13" s="77">
        <f>X6*X12 + ($M$5*'Cancel Curves'!$M$12 + $N$5*'Cancel Curves'!$L$12 + $O$5*'Cancel Curves'!$K$12 + $P$5*'Cancel Curves'!$J$12 + $Q$5*'Cancel Curves'!$I$12 + $R$5*'Cancel Curves'!$H$12 + $S$5*'Cancel Curves'!$G$12 + $T$5*'Cancel Curves'!$F$12 + $U$5*'Cancel Curves'!$E$12 + $V$5*'Cancel Curves'!$D$12 + $W$5*'Cancel Curves'!$C$12 + $X$5*'Cancel Curves'!$B$12)*Assumptions!$B$76</f>
        <v/>
      </c>
      <c r="Y13" s="77">
        <f>Y6*Y12 + ($N$5*'Cancel Curves'!$M$12 + $O$5*'Cancel Curves'!$L$12 + $P$5*'Cancel Curves'!$K$12 + $Q$5*'Cancel Curves'!$J$12 + $R$5*'Cancel Curves'!$I$12 + $S$5*'Cancel Curves'!$H$12 + $T$5*'Cancel Curves'!$G$12 + $U$5*'Cancel Curves'!$F$12 + $V$5*'Cancel Curves'!$E$12 + $W$5*'Cancel Curves'!$D$12 + $X$5*'Cancel Curves'!$C$12 + $Y$5*'Cancel Curves'!$B$12)*Assumptions!$B$76</f>
        <v/>
      </c>
      <c r="Z13" s="77">
        <f>Z6*Z12 + ($O$5*'Cancel Curves'!$M$12 + $P$5*'Cancel Curves'!$L$12 + $Q$5*'Cancel Curves'!$K$12 + $R$5*'Cancel Curves'!$J$12 + $S$5*'Cancel Curves'!$I$12 + $T$5*'Cancel Curves'!$H$12 + $U$5*'Cancel Curves'!$G$12 + $V$5*'Cancel Curves'!$F$12 + $W$5*'Cancel Curves'!$E$12 + $X$5*'Cancel Curves'!$D$12 + $Y$5*'Cancel Curves'!$C$12 + $Z$5*'Cancel Curves'!$B$12)*Assumptions!$B$76</f>
        <v/>
      </c>
      <c r="AA13" s="77">
        <f>AA6*AA12 + ($P$5*'Cancel Curves'!$M$12 + $Q$5*'Cancel Curves'!$L$12 + $R$5*'Cancel Curves'!$K$12 + $S$5*'Cancel Curves'!$J$12 + $T$5*'Cancel Curves'!$I$12 + $U$5*'Cancel Curves'!$H$12 + $V$5*'Cancel Curves'!$G$12 + $W$5*'Cancel Curves'!$F$12 + $X$5*'Cancel Curves'!$E$12 + $Y$5*'Cancel Curves'!$D$12 + $Z$5*'Cancel Curves'!$C$12 + $AA$5*'Cancel Curves'!$B$12)*Assumptions!$B$76</f>
        <v/>
      </c>
      <c r="AB13" s="77">
        <f>AB6*AB12 + ($Q$5*'Cancel Curves'!$M$12 + $R$5*'Cancel Curves'!$L$12 + $S$5*'Cancel Curves'!$K$12 + $T$5*'Cancel Curves'!$J$12 + $U$5*'Cancel Curves'!$I$12 + $V$5*'Cancel Curves'!$H$12 + $W$5*'Cancel Curves'!$G$12 + $X$5*'Cancel Curves'!$F$12 + $Y$5*'Cancel Curves'!$E$12 + $Z$5*'Cancel Curves'!$D$12 + $AA$5*'Cancel Curves'!$C$12 + $AB$5*'Cancel Curves'!$B$12)*Assumptions!$B$76</f>
        <v/>
      </c>
      <c r="AC13" s="77">
        <f>AC6*AC12 + ($R$5*'Cancel Curves'!$M$12 + $S$5*'Cancel Curves'!$L$12 + $T$5*'Cancel Curves'!$K$12 + $U$5*'Cancel Curves'!$J$12 + $V$5*'Cancel Curves'!$I$12 + $W$5*'Cancel Curves'!$H$12 + $X$5*'Cancel Curves'!$G$12 + $Y$5*'Cancel Curves'!$F$12 + $Z$5*'Cancel Curves'!$E$12 + $AA$5*'Cancel Curves'!$D$12 + $AB$5*'Cancel Curves'!$C$12 + $AC$5*'Cancel Curves'!$B$12)*Assumptions!$B$76</f>
        <v/>
      </c>
      <c r="AD13" s="77">
        <f>AD6*AD12 + ($S$5*'Cancel Curves'!$M$12 + $T$5*'Cancel Curves'!$L$12 + $U$5*'Cancel Curves'!$K$12 + $V$5*'Cancel Curves'!$J$12 + $W$5*'Cancel Curves'!$I$12 + $X$5*'Cancel Curves'!$H$12 + $Y$5*'Cancel Curves'!$G$12 + $Z$5*'Cancel Curves'!$F$12 + $AA$5*'Cancel Curves'!$E$12 + $AB$5*'Cancel Curves'!$D$12 + $AC$5*'Cancel Curves'!$C$12 + $AD$5*'Cancel Curves'!$B$12)*Assumptions!$B$76</f>
        <v/>
      </c>
      <c r="AE13" s="77">
        <f>AE6*AE12 + ($T$5*'Cancel Curves'!$M$12 + $U$5*'Cancel Curves'!$L$12 + $V$5*'Cancel Curves'!$K$12 + $W$5*'Cancel Curves'!$J$12 + $X$5*'Cancel Curves'!$I$12 + $Y$5*'Cancel Curves'!$H$12 + $Z$5*'Cancel Curves'!$G$12 + $AA$5*'Cancel Curves'!$F$12 + $AB$5*'Cancel Curves'!$E$12 + $AC$5*'Cancel Curves'!$D$12 + $AD$5*'Cancel Curves'!$C$12 + $AE$5*'Cancel Curves'!$B$12)*Assumptions!$B$76</f>
        <v/>
      </c>
      <c r="AF13" s="77">
        <f>AF6*AF12 + ($U$5*'Cancel Curves'!$M$12 + $V$5*'Cancel Curves'!$L$12 + $W$5*'Cancel Curves'!$K$12 + $X$5*'Cancel Curves'!$J$12 + $Y$5*'Cancel Curves'!$I$12 + $Z$5*'Cancel Curves'!$H$12 + $AA$5*'Cancel Curves'!$G$12 + $AB$5*'Cancel Curves'!$F$12 + $AC$5*'Cancel Curves'!$E$12 + $AD$5*'Cancel Curves'!$D$12 + $AE$5*'Cancel Curves'!$C$12 + $AF$5*'Cancel Curves'!$B$12)*Assumptions!$B$76</f>
        <v/>
      </c>
      <c r="AG13" s="77">
        <f>AG6*AG12 + ($V$5*'Cancel Curves'!$M$12 + $W$5*'Cancel Curves'!$L$12 + $X$5*'Cancel Curves'!$K$12 + $Y$5*'Cancel Curves'!$J$12 + $Z$5*'Cancel Curves'!$I$12 + $AA$5*'Cancel Curves'!$H$12 + $AB$5*'Cancel Curves'!$G$12 + $AC$5*'Cancel Curves'!$F$12 + $AD$5*'Cancel Curves'!$E$12 + $AE$5*'Cancel Curves'!$D$12 + $AF$5*'Cancel Curves'!$C$12 + $AG$5*'Cancel Curves'!$B$12)*Assumptions!$B$76</f>
        <v/>
      </c>
      <c r="AH13" s="77">
        <f>AH6*AH12 + ($W$5*'Cancel Curves'!$M$12 + $X$5*'Cancel Curves'!$L$12 + $Y$5*'Cancel Curves'!$K$12 + $Z$5*'Cancel Curves'!$J$12 + $AA$5*'Cancel Curves'!$I$12 + $AB$5*'Cancel Curves'!$H$12 + $AC$5*'Cancel Curves'!$G$12 + $AD$5*'Cancel Curves'!$F$12 + $AE$5*'Cancel Curves'!$E$12 + $AF$5*'Cancel Curves'!$D$12 + $AG$5*'Cancel Curves'!$C$12 + $AH$5*'Cancel Curves'!$B$12)*Assumptions!$B$76</f>
        <v/>
      </c>
      <c r="AI13" s="77">
        <f>AI6*AI12 + ($X$5*'Cancel Curves'!$M$12 + $Y$5*'Cancel Curves'!$L$12 + $Z$5*'Cancel Curves'!$K$12 + $AA$5*'Cancel Curves'!$J$12 + $AB$5*'Cancel Curves'!$I$12 + $AC$5*'Cancel Curves'!$H$12 + $AD$5*'Cancel Curves'!$G$12 + $AE$5*'Cancel Curves'!$F$12 + $AF$5*'Cancel Curves'!$E$12 + $AG$5*'Cancel Curves'!$D$12 + $AH$5*'Cancel Curves'!$C$12 + $AI$5*'Cancel Curves'!$B$12)*Assumptions!$B$76</f>
        <v/>
      </c>
      <c r="AJ13" s="77">
        <f>AJ6*AJ12 + ($Y$5*'Cancel Curves'!$M$12 + $Z$5*'Cancel Curves'!$L$12 + $AA$5*'Cancel Curves'!$K$12 + $AB$5*'Cancel Curves'!$J$12 + $AC$5*'Cancel Curves'!$I$12 + $AD$5*'Cancel Curves'!$H$12 + $AE$5*'Cancel Curves'!$G$12 + $AF$5*'Cancel Curves'!$F$12 + $AG$5*'Cancel Curves'!$E$12 + $AH$5*'Cancel Curves'!$D$12 + $AI$5*'Cancel Curves'!$C$12 + $AJ$5*'Cancel Curves'!$B$12)*Assumptions!$B$76</f>
        <v/>
      </c>
      <c r="AK13" s="77">
        <f>AK6*AK12 + ($Z$5*'Cancel Curves'!$M$12 + $AA$5*'Cancel Curves'!$L$12 + $AB$5*'Cancel Curves'!$K$12 + $AC$5*'Cancel Curves'!$J$12 + $AD$5*'Cancel Curves'!$I$12 + $AE$5*'Cancel Curves'!$H$12 + $AF$5*'Cancel Curves'!$G$12 + $AG$5*'Cancel Curves'!$F$12 + $AH$5*'Cancel Curves'!$E$12 + $AI$5*'Cancel Curves'!$D$12 + $AJ$5*'Cancel Curves'!$C$12 + $AK$5*'Cancel Curves'!$B$12)*Assumptions!$B$76</f>
        <v/>
      </c>
      <c r="AL13" s="77">
        <f>AL6*AL12 + ($AA$5*'Cancel Curves'!$M$12 + $AB$5*'Cancel Curves'!$L$12 + $AC$5*'Cancel Curves'!$K$12 + $AD$5*'Cancel Curves'!$J$12 + $AE$5*'Cancel Curves'!$I$12 + $AF$5*'Cancel Curves'!$H$12 + $AG$5*'Cancel Curves'!$G$12 + $AH$5*'Cancel Curves'!$F$12 + $AI$5*'Cancel Curves'!$E$12 + $AJ$5*'Cancel Curves'!$D$12 + $AK$5*'Cancel Curves'!$C$12 + $AL$5*'Cancel Curves'!$B$12)*Assumptions!$B$76</f>
        <v/>
      </c>
      <c r="AM13" s="77">
        <f>AM6*AM12 + ($AB$5*'Cancel Curves'!$M$12 + $AC$5*'Cancel Curves'!$L$12 + $AD$5*'Cancel Curves'!$K$12 + $AE$5*'Cancel Curves'!$J$12 + $AF$5*'Cancel Curves'!$I$12 + $AG$5*'Cancel Curves'!$H$12 + $AH$5*'Cancel Curves'!$G$12 + $AI$5*'Cancel Curves'!$F$12 + $AJ$5*'Cancel Curves'!$E$12 + $AK$5*'Cancel Curves'!$D$12 + $AL$5*'Cancel Curves'!$C$12 + $AM$5*'Cancel Curves'!$B$12)*Assumptions!$B$76</f>
        <v/>
      </c>
      <c r="AN13" s="77">
        <f>AN6*AN12 + ($AC$5*'Cancel Curves'!$M$12 + $AD$5*'Cancel Curves'!$L$12 + $AE$5*'Cancel Curves'!$K$12 + $AF$5*'Cancel Curves'!$J$12 + $AG$5*'Cancel Curves'!$I$12 + $AH$5*'Cancel Curves'!$H$12 + $AI$5*'Cancel Curves'!$G$12 + $AJ$5*'Cancel Curves'!$F$12 + $AK$5*'Cancel Curves'!$E$12 + $AL$5*'Cancel Curves'!$D$12 + $AM$5*'Cancel Curves'!$C$12 + $AN$5*'Cancel Curves'!$B$12)*Assumptions!$B$76</f>
        <v/>
      </c>
      <c r="AO13" s="77">
        <f>AO6*AO12 + ($AD$5*'Cancel Curves'!$M$12 + $AE$5*'Cancel Curves'!$L$12 + $AF$5*'Cancel Curves'!$K$12 + $AG$5*'Cancel Curves'!$J$12 + $AH$5*'Cancel Curves'!$I$12 + $AI$5*'Cancel Curves'!$H$12 + $AJ$5*'Cancel Curves'!$G$12 + $AK$5*'Cancel Curves'!$F$12 + $AL$5*'Cancel Curves'!$E$12 + $AM$5*'Cancel Curves'!$D$12 + $AN$5*'Cancel Curves'!$C$12 + $AO$5*'Cancel Curves'!$B$12)*Assumptions!$B$76</f>
        <v/>
      </c>
      <c r="AP13" s="77">
        <f>AP6*AP12 + ($AE$5*'Cancel Curves'!$M$12 + $AF$5*'Cancel Curves'!$L$12 + $AG$5*'Cancel Curves'!$K$12 + $AH$5*'Cancel Curves'!$J$12 + $AI$5*'Cancel Curves'!$I$12 + $AJ$5*'Cancel Curves'!$H$12 + $AK$5*'Cancel Curves'!$G$12 + $AL$5*'Cancel Curves'!$F$12 + $AM$5*'Cancel Curves'!$E$12 + $AN$5*'Cancel Curves'!$D$12 + $AO$5*'Cancel Curves'!$C$12 + $AP$5*'Cancel Curves'!$B$12)*Assumptions!$B$76</f>
        <v/>
      </c>
      <c r="AQ13" s="77">
        <f>AQ6*AQ12 + ($AF$5*'Cancel Curves'!$M$12 + $AG$5*'Cancel Curves'!$L$12 + $AH$5*'Cancel Curves'!$K$12 + $AI$5*'Cancel Curves'!$J$12 + $AJ$5*'Cancel Curves'!$I$12 + $AK$5*'Cancel Curves'!$H$12 + $AL$5*'Cancel Curves'!$G$12 + $AM$5*'Cancel Curves'!$F$12 + $AN$5*'Cancel Curves'!$E$12 + $AO$5*'Cancel Curves'!$D$12 + $AP$5*'Cancel Curves'!$C$12 + $AQ$5*'Cancel Curves'!$B$12)*Assumptions!$B$76</f>
        <v/>
      </c>
      <c r="AR13" s="77">
        <f>AR6*AR12 + ($AG$5*'Cancel Curves'!$M$12 + $AH$5*'Cancel Curves'!$L$12 + $AI$5*'Cancel Curves'!$K$12 + $AJ$5*'Cancel Curves'!$J$12 + $AK$5*'Cancel Curves'!$I$12 + $AL$5*'Cancel Curves'!$H$12 + $AM$5*'Cancel Curves'!$G$12 + $AN$5*'Cancel Curves'!$F$12 + $AO$5*'Cancel Curves'!$E$12 + $AP$5*'Cancel Curves'!$D$12 + $AQ$5*'Cancel Curves'!$C$12 + $AR$5*'Cancel Curves'!$B$12)*Assumptions!$B$76</f>
        <v/>
      </c>
      <c r="AS13" s="77">
        <f>AS6*AS12 + ($AH$5*'Cancel Curves'!$M$12 + $AI$5*'Cancel Curves'!$L$12 + $AJ$5*'Cancel Curves'!$K$12 + $AK$5*'Cancel Curves'!$J$12 + $AL$5*'Cancel Curves'!$I$12 + $AM$5*'Cancel Curves'!$H$12 + $AN$5*'Cancel Curves'!$G$12 + $AO$5*'Cancel Curves'!$F$12 + $AP$5*'Cancel Curves'!$E$12 + $AQ$5*'Cancel Curves'!$D$12 + $AR$5*'Cancel Curves'!$C$12 + $AS$5*'Cancel Curves'!$B$12)*Assumptions!$B$76</f>
        <v/>
      </c>
      <c r="AT13" s="77">
        <f>AT6*AT12 + ($AI$5*'Cancel Curves'!$M$12 + $AJ$5*'Cancel Curves'!$L$12 + $AK$5*'Cancel Curves'!$K$12 + $AL$5*'Cancel Curves'!$J$12 + $AM$5*'Cancel Curves'!$I$12 + $AN$5*'Cancel Curves'!$H$12 + $AO$5*'Cancel Curves'!$G$12 + $AP$5*'Cancel Curves'!$F$12 + $AQ$5*'Cancel Curves'!$E$12 + $AR$5*'Cancel Curves'!$D$12 + $AS$5*'Cancel Curves'!$C$12 + $AT$5*'Cancel Curves'!$B$12)*Assumptions!$B$76</f>
        <v/>
      </c>
      <c r="AU13" s="77">
        <f>AU6*AU12 + ($AJ$5*'Cancel Curves'!$M$12 + $AK$5*'Cancel Curves'!$L$12 + $AL$5*'Cancel Curves'!$K$12 + $AM$5*'Cancel Curves'!$J$12 + $AN$5*'Cancel Curves'!$I$12 + $AO$5*'Cancel Curves'!$H$12 + $AP$5*'Cancel Curves'!$G$12 + $AQ$5*'Cancel Curves'!$F$12 + $AR$5*'Cancel Curves'!$E$12 + $AS$5*'Cancel Curves'!$D$12 + $AT$5*'Cancel Curves'!$C$12 + $AU$5*'Cancel Curves'!$B$12)*Assumptions!$B$76</f>
        <v/>
      </c>
      <c r="AV13" s="77">
        <f>AV6*AV12 + ($AK$5*'Cancel Curves'!$M$12 + $AL$5*'Cancel Curves'!$L$12 + $AM$5*'Cancel Curves'!$K$12 + $AN$5*'Cancel Curves'!$J$12 + $AO$5*'Cancel Curves'!$I$12 + $AP$5*'Cancel Curves'!$H$12 + $AQ$5*'Cancel Curves'!$G$12 + $AR$5*'Cancel Curves'!$F$12 + $AS$5*'Cancel Curves'!$E$12 + $AT$5*'Cancel Curves'!$D$12 + $AU$5*'Cancel Curves'!$C$12 + $AV$5*'Cancel Curves'!$B$12)*Assumptions!$B$76</f>
        <v/>
      </c>
      <c r="AW13" s="77">
        <f>AW6*AW12 + ($AL$5*'Cancel Curves'!$M$12 + $AM$5*'Cancel Curves'!$L$12 + $AN$5*'Cancel Curves'!$K$12 + $AO$5*'Cancel Curves'!$J$12 + $AP$5*'Cancel Curves'!$I$12 + $AQ$5*'Cancel Curves'!$H$12 + $AR$5*'Cancel Curves'!$G$12 + $AS$5*'Cancel Curves'!$F$12 + $AT$5*'Cancel Curves'!$E$12 + $AU$5*'Cancel Curves'!$D$12 + $AV$5*'Cancel Curves'!$C$12 + $AW$5*'Cancel Curves'!$B$12)*Assumptions!$B$76</f>
        <v/>
      </c>
      <c r="AX13" s="77">
        <f>AX6*AX12 + ($AM$5*'Cancel Curves'!$M$12 + $AN$5*'Cancel Curves'!$L$12 + $AO$5*'Cancel Curves'!$K$12 + $AP$5*'Cancel Curves'!$J$12 + $AQ$5*'Cancel Curves'!$I$12 + $AR$5*'Cancel Curves'!$H$12 + $AS$5*'Cancel Curves'!$G$12 + $AT$5*'Cancel Curves'!$F$12 + $AU$5*'Cancel Curves'!$E$12 + $AV$5*'Cancel Curves'!$D$12 + $AW$5*'Cancel Curves'!$C$12 + $AX$5*'Cancel Curves'!$B$12)*Assumptions!$B$76</f>
        <v/>
      </c>
      <c r="AY13" s="77">
        <f>AY6*AY12 + ($AN$5*'Cancel Curves'!$M$12 + $AO$5*'Cancel Curves'!$L$12 + $AP$5*'Cancel Curves'!$K$12 + $AQ$5*'Cancel Curves'!$J$12 + $AR$5*'Cancel Curves'!$I$12 + $AS$5*'Cancel Curves'!$H$12 + $AT$5*'Cancel Curves'!$G$12 + $AU$5*'Cancel Curves'!$F$12 + $AV$5*'Cancel Curves'!$E$12 + $AW$5*'Cancel Curves'!$D$12 + $AX$5*'Cancel Curves'!$C$12 + $AY$5*'Cancel Curves'!$B$12)*Assumptions!$B$76</f>
        <v/>
      </c>
      <c r="AZ13" s="77">
        <f>AZ6*AZ12 + ($AO$5*'Cancel Curves'!$M$12 + $AP$5*'Cancel Curves'!$L$12 + $AQ$5*'Cancel Curves'!$K$12 + $AR$5*'Cancel Curves'!$J$12 + $AS$5*'Cancel Curves'!$I$12 + $AT$5*'Cancel Curves'!$H$12 + $AU$5*'Cancel Curves'!$G$12 + $AV$5*'Cancel Curves'!$F$12 + $AW$5*'Cancel Curves'!$E$12 + $AX$5*'Cancel Curves'!$D$12 + $AY$5*'Cancel Curves'!$C$12 + $AZ$5*'Cancel Curves'!$B$12)*Assumptions!$B$76</f>
        <v/>
      </c>
      <c r="BA13" s="77">
        <f>BA6*BA12 + ($AP$5*'Cancel Curves'!$M$12 + $AQ$5*'Cancel Curves'!$L$12 + $AR$5*'Cancel Curves'!$K$12 + $AS$5*'Cancel Curves'!$J$12 + $AT$5*'Cancel Curves'!$I$12 + $AU$5*'Cancel Curves'!$H$12 + $AV$5*'Cancel Curves'!$G$12 + $AW$5*'Cancel Curves'!$F$12 + $AX$5*'Cancel Curves'!$E$12 + $AY$5*'Cancel Curves'!$D$12 + $AZ$5*'Cancel Curves'!$C$12 + $BA$5*'Cancel Curves'!$B$12)*Assumptions!$B$76</f>
        <v/>
      </c>
      <c r="BB13" s="77">
        <f>BB6*BB12 + ($AQ$5*'Cancel Curves'!$M$12 + $AR$5*'Cancel Curves'!$L$12 + $AS$5*'Cancel Curves'!$K$12 + $AT$5*'Cancel Curves'!$J$12 + $AU$5*'Cancel Curves'!$I$12 + $AV$5*'Cancel Curves'!$H$12 + $AW$5*'Cancel Curves'!$G$12 + $AX$5*'Cancel Curves'!$F$12 + $AY$5*'Cancel Curves'!$E$12 + $AZ$5*'Cancel Curves'!$D$12 + $BA$5*'Cancel Curves'!$C$12 + $BB$5*'Cancel Curves'!$B$12)*Assumptions!$B$76</f>
        <v/>
      </c>
      <c r="BC13" s="77">
        <f>BC6*BC12 + ($AR$5*'Cancel Curves'!$M$12 + $AS$5*'Cancel Curves'!$L$12 + $AT$5*'Cancel Curves'!$K$12 + $AU$5*'Cancel Curves'!$J$12 + $AV$5*'Cancel Curves'!$I$12 + $AW$5*'Cancel Curves'!$H$12 + $AX$5*'Cancel Curves'!$G$12 + $AY$5*'Cancel Curves'!$F$12 + $AZ$5*'Cancel Curves'!$E$12 + $BA$5*'Cancel Curves'!$D$12 + $BB$5*'Cancel Curves'!$C$12 + $BC$5*'Cancel Curves'!$B$12)*Assumptions!$B$76</f>
        <v/>
      </c>
      <c r="BD13" s="77">
        <f>BD6*BD12 + ($AS$5*'Cancel Curves'!$M$12 + $AT$5*'Cancel Curves'!$L$12 + $AU$5*'Cancel Curves'!$K$12 + $AV$5*'Cancel Curves'!$J$12 + $AW$5*'Cancel Curves'!$I$12 + $AX$5*'Cancel Curves'!$H$12 + $AY$5*'Cancel Curves'!$G$12 + $AZ$5*'Cancel Curves'!$F$12 + $BA$5*'Cancel Curves'!$E$12 + $BB$5*'Cancel Curves'!$D$12 + $BC$5*'Cancel Curves'!$C$12 + $BD$5*'Cancel Curves'!$B$12)*Assumptions!$B$76</f>
        <v/>
      </c>
      <c r="BE13" s="77">
        <f>BE6*BE12 + ($AT$5*'Cancel Curves'!$M$12 + $AU$5*'Cancel Curves'!$L$12 + $AV$5*'Cancel Curves'!$K$12 + $AW$5*'Cancel Curves'!$J$12 + $AX$5*'Cancel Curves'!$I$12 + $AY$5*'Cancel Curves'!$H$12 + $AZ$5*'Cancel Curves'!$G$12 + $BA$5*'Cancel Curves'!$F$12 + $BB$5*'Cancel Curves'!$E$12 + $BC$5*'Cancel Curves'!$D$12 + $BD$5*'Cancel Curves'!$C$12 + $BE$5*'Cancel Curves'!$B$12)*Assumptions!$B$76</f>
        <v/>
      </c>
      <c r="BF13" s="77">
        <f>BF6*BF12 + ($AU$5*'Cancel Curves'!$M$12 + $AV$5*'Cancel Curves'!$L$12 + $AW$5*'Cancel Curves'!$K$12 + $AX$5*'Cancel Curves'!$J$12 + $AY$5*'Cancel Curves'!$I$12 + $AZ$5*'Cancel Curves'!$H$12 + $BA$5*'Cancel Curves'!$G$12 + $BB$5*'Cancel Curves'!$F$12 + $BC$5*'Cancel Curves'!$E$12 + $BD$5*'Cancel Curves'!$D$12 + $BE$5*'Cancel Curves'!$C$12 + $BF$5*'Cancel Curves'!$B$12)*Assumptions!$B$76</f>
        <v/>
      </c>
      <c r="BG13" s="77">
        <f>BG6*BG12 + ($AV$5*'Cancel Curves'!$M$12 + $AW$5*'Cancel Curves'!$L$12 + $AX$5*'Cancel Curves'!$K$12 + $AY$5*'Cancel Curves'!$J$12 + $AZ$5*'Cancel Curves'!$I$12 + $BA$5*'Cancel Curves'!$H$12 + $BB$5*'Cancel Curves'!$G$12 + $BC$5*'Cancel Curves'!$F$12 + $BD$5*'Cancel Curves'!$E$12 + $BE$5*'Cancel Curves'!$D$12 + $BF$5*'Cancel Curves'!$C$12 + $BG$5*'Cancel Curves'!$B$12)*Assumptions!$B$76</f>
        <v/>
      </c>
      <c r="BH13" s="77">
        <f>BH6*BH12 + ($AW$5*'Cancel Curves'!$M$12 + $AX$5*'Cancel Curves'!$L$12 + $AY$5*'Cancel Curves'!$K$12 + $AZ$5*'Cancel Curves'!$J$12 + $BA$5*'Cancel Curves'!$I$12 + $BB$5*'Cancel Curves'!$H$12 + $BC$5*'Cancel Curves'!$G$12 + $BD$5*'Cancel Curves'!$F$12 + $BE$5*'Cancel Curves'!$E$12 + $BF$5*'Cancel Curves'!$D$12 + $BG$5*'Cancel Curves'!$C$12 + $BH$5*'Cancel Curves'!$B$12)*Assumptions!$B$76</f>
        <v/>
      </c>
      <c r="BI13" s="77">
        <f>BI6*BI12 + ($AX$5*'Cancel Curves'!$M$12 + $AY$5*'Cancel Curves'!$L$12 + $AZ$5*'Cancel Curves'!$K$12 + $BA$5*'Cancel Curves'!$J$12 + $BB$5*'Cancel Curves'!$I$12 + $BC$5*'Cancel Curves'!$H$12 + $BD$5*'Cancel Curves'!$G$12 + $BE$5*'Cancel Curves'!$F$12 + $BF$5*'Cancel Curves'!$E$12 + $BG$5*'Cancel Curves'!$D$12 + $BH$5*'Cancel Curves'!$C$12 + $BI$5*'Cancel Curves'!$B$12)*Assumptions!$B$76</f>
        <v/>
      </c>
      <c r="BJ13" s="77">
        <f>BJ6*BJ12 + ($AY$5*'Cancel Curves'!$M$12 + $AZ$5*'Cancel Curves'!$L$12 + $BA$5*'Cancel Curves'!$K$12 + $BB$5*'Cancel Curves'!$J$12 + $BC$5*'Cancel Curves'!$I$12 + $BD$5*'Cancel Curves'!$H$12 + $BE$5*'Cancel Curves'!$G$12 + $BF$5*'Cancel Curves'!$F$12 + $BG$5*'Cancel Curves'!$E$12 + $BH$5*'Cancel Curves'!$D$12 + $BI$5*'Cancel Curves'!$C$12 + $BJ$5*'Cancel Curves'!$B$12)*Assumptions!$B$76</f>
        <v/>
      </c>
      <c r="BK13" s="77">
        <f>BK6*BK12 + ($AZ$5*'Cancel Curves'!$M$12 + $BA$5*'Cancel Curves'!$L$12 + $BB$5*'Cancel Curves'!$K$12 + $BC$5*'Cancel Curves'!$J$12 + $BD$5*'Cancel Curves'!$I$12 + $BE$5*'Cancel Curves'!$H$12 + $BF$5*'Cancel Curves'!$G$12 + $BG$5*'Cancel Curves'!$F$12 + $BH$5*'Cancel Curves'!$E$12 + $BI$5*'Cancel Curves'!$D$12 + $BJ$5*'Cancel Curves'!$C$12 + $BK$5*'Cancel Curves'!$B$12)*Assumptions!$B$76</f>
        <v/>
      </c>
      <c r="BL13" s="77">
        <f>BL6*BL12 + ($BA$5*'Cancel Curves'!$M$12 + $BB$5*'Cancel Curves'!$L$12 + $BC$5*'Cancel Curves'!$K$12 + $BD$5*'Cancel Curves'!$J$12 + $BE$5*'Cancel Curves'!$I$12 + $BF$5*'Cancel Curves'!$H$12 + $BG$5*'Cancel Curves'!$G$12 + $BH$5*'Cancel Curves'!$F$12 + $BI$5*'Cancel Curves'!$E$12 + $BJ$5*'Cancel Curves'!$D$12 + $BK$5*'Cancel Curves'!$C$12 + $BL$5*'Cancel Curves'!$B$12)*Assumptions!$B$76</f>
        <v/>
      </c>
      <c r="BM13" s="77">
        <f>BM6*BM12 + ($BB$5*'Cancel Curves'!$M$12 + $BC$5*'Cancel Curves'!$L$12 + $BD$5*'Cancel Curves'!$K$12 + $BE$5*'Cancel Curves'!$J$12 + $BF$5*'Cancel Curves'!$I$12 + $BG$5*'Cancel Curves'!$H$12 + $BH$5*'Cancel Curves'!$G$12 + $BI$5*'Cancel Curves'!$F$12 + $BJ$5*'Cancel Curves'!$E$12 + $BK$5*'Cancel Curves'!$D$12 + $BL$5*'Cancel Curves'!$C$12 + $BM$5*'Cancel Curves'!$B$12)*Assumptions!$B$76</f>
        <v/>
      </c>
      <c r="BN13" s="77">
        <f>BN6*BN12 + ($BC$5*'Cancel Curves'!$M$12 + $BD$5*'Cancel Curves'!$L$12 + $BE$5*'Cancel Curves'!$K$12 + $BF$5*'Cancel Curves'!$J$12 + $BG$5*'Cancel Curves'!$I$12 + $BH$5*'Cancel Curves'!$H$12 + $BI$5*'Cancel Curves'!$G$12 + $BJ$5*'Cancel Curves'!$F$12 + $BK$5*'Cancel Curves'!$E$12 + $BL$5*'Cancel Curves'!$D$12 + $BM$5*'Cancel Curves'!$C$12 + $BN$5*'Cancel Curves'!$B$12)*Assumptions!$B$76</f>
        <v/>
      </c>
      <c r="BO13" s="77">
        <f>BO6*BO12 + ($BD$5*'Cancel Curves'!$M$12 + $BE$5*'Cancel Curves'!$L$12 + $BF$5*'Cancel Curves'!$K$12 + $BG$5*'Cancel Curves'!$J$12 + $BH$5*'Cancel Curves'!$I$12 + $BI$5*'Cancel Curves'!$H$12 + $BJ$5*'Cancel Curves'!$G$12 + $BK$5*'Cancel Curves'!$F$12 + $BL$5*'Cancel Curves'!$E$12 + $BM$5*'Cancel Curves'!$D$12 + $BN$5*'Cancel Curves'!$C$12 + $BO$5*'Cancel Curves'!$B$12)*Assumptions!$B$76</f>
        <v/>
      </c>
      <c r="BP13" s="77">
        <f>BP6*BP12 + ($BE$5*'Cancel Curves'!$M$12 + $BF$5*'Cancel Curves'!$L$12 + $BG$5*'Cancel Curves'!$K$12 + $BH$5*'Cancel Curves'!$J$12 + $BI$5*'Cancel Curves'!$I$12 + $BJ$5*'Cancel Curves'!$H$12 + $BK$5*'Cancel Curves'!$G$12 + $BL$5*'Cancel Curves'!$F$12 + $BM$5*'Cancel Curves'!$E$12 + $BN$5*'Cancel Curves'!$D$12 + $BO$5*'Cancel Curves'!$C$12 + $BP$5*'Cancel Curves'!$B$12)*Assumptions!$B$76</f>
        <v/>
      </c>
      <c r="BQ13" s="77">
        <f>BQ6*BQ12 + ($BF$5*'Cancel Curves'!$M$12 + $BG$5*'Cancel Curves'!$L$12 + $BH$5*'Cancel Curves'!$K$12 + $BI$5*'Cancel Curves'!$J$12 + $BJ$5*'Cancel Curves'!$I$12 + $BK$5*'Cancel Curves'!$H$12 + $BL$5*'Cancel Curves'!$G$12 + $BM$5*'Cancel Curves'!$F$12 + $BN$5*'Cancel Curves'!$E$12 + $BO$5*'Cancel Curves'!$D$12 + $BP$5*'Cancel Curves'!$C$12 + $BQ$5*'Cancel Curves'!$B$12)*Assumptions!$B$76</f>
        <v/>
      </c>
      <c r="BR13" s="77">
        <f>BR6*BR12 + ($BG$5*'Cancel Curves'!$M$12 + $BH$5*'Cancel Curves'!$L$12 + $BI$5*'Cancel Curves'!$K$12 + $BJ$5*'Cancel Curves'!$J$12 + $BK$5*'Cancel Curves'!$I$12 + $BL$5*'Cancel Curves'!$H$12 + $BM$5*'Cancel Curves'!$G$12 + $BN$5*'Cancel Curves'!$F$12 + $BO$5*'Cancel Curves'!$E$12 + $BP$5*'Cancel Curves'!$D$12 + $BQ$5*'Cancel Curves'!$C$12 + $BR$5*'Cancel Curves'!$B$12)*Assumptions!$B$76</f>
        <v/>
      </c>
      <c r="BS13" s="77">
        <f>BS6*BS12 + ($BH$5*'Cancel Curves'!$M$12 + $BI$5*'Cancel Curves'!$L$12 + $BJ$5*'Cancel Curves'!$K$12 + $BK$5*'Cancel Curves'!$J$12 + $BL$5*'Cancel Curves'!$I$12 + $BM$5*'Cancel Curves'!$H$12 + $BN$5*'Cancel Curves'!$G$12 + $BO$5*'Cancel Curves'!$F$12 + $BP$5*'Cancel Curves'!$E$12 + $BQ$5*'Cancel Curves'!$D$12 + $BR$5*'Cancel Curves'!$C$12 + $BS$5*'Cancel Curves'!$B$12)*Assumptions!$B$76</f>
        <v/>
      </c>
      <c r="BT13" s="77">
        <f>BT6*BT12 + ($BI$5*'Cancel Curves'!$M$12 + $BJ$5*'Cancel Curves'!$L$12 + $BK$5*'Cancel Curves'!$K$12 + $BL$5*'Cancel Curves'!$J$12 + $BM$5*'Cancel Curves'!$I$12 + $BN$5*'Cancel Curves'!$H$12 + $BO$5*'Cancel Curves'!$G$12 + $BP$5*'Cancel Curves'!$F$12 + $BQ$5*'Cancel Curves'!$E$12 + $BR$5*'Cancel Curves'!$D$12 + $BS$5*'Cancel Curves'!$C$12 + $BT$5*'Cancel Curves'!$B$12)*Assumptions!$B$76</f>
        <v/>
      </c>
      <c r="BU13" s="77">
        <f>BU6*BU12 + ($BJ$5*'Cancel Curves'!$M$12 + $BK$5*'Cancel Curves'!$L$12 + $BL$5*'Cancel Curves'!$K$12 + $BM$5*'Cancel Curves'!$J$12 + $BN$5*'Cancel Curves'!$I$12 + $BO$5*'Cancel Curves'!$H$12 + $BP$5*'Cancel Curves'!$G$12 + $BQ$5*'Cancel Curves'!$F$12 + $BR$5*'Cancel Curves'!$E$12 + $BS$5*'Cancel Curves'!$D$12 + $BT$5*'Cancel Curves'!$C$12 + $BU$5*'Cancel Curves'!$B$12)*Assumptions!$B$76</f>
        <v/>
      </c>
      <c r="BV13" s="77">
        <f>BV6*BV12 + ($BK$5*'Cancel Curves'!$M$12 + $BL$5*'Cancel Curves'!$L$12 + $BM$5*'Cancel Curves'!$K$12 + $BN$5*'Cancel Curves'!$J$12 + $BO$5*'Cancel Curves'!$I$12 + $BP$5*'Cancel Curves'!$H$12 + $BQ$5*'Cancel Curves'!$G$12 + $BR$5*'Cancel Curves'!$F$12 + $BS$5*'Cancel Curves'!$E$12 + $BT$5*'Cancel Curves'!$D$12 + $BU$5*'Cancel Curves'!$C$12 + $BV$5*'Cancel Curves'!$B$12)*Assumptions!$B$76</f>
        <v/>
      </c>
      <c r="BW13" s="77">
        <f>BW6*BW12 + ($BL$5*'Cancel Curves'!$M$12 + $BM$5*'Cancel Curves'!$L$12 + $BN$5*'Cancel Curves'!$K$12 + $BO$5*'Cancel Curves'!$J$12 + $BP$5*'Cancel Curves'!$I$12 + $BQ$5*'Cancel Curves'!$H$12 + $BR$5*'Cancel Curves'!$G$12 + $BS$5*'Cancel Curves'!$F$12 + $BT$5*'Cancel Curves'!$E$12 + $BU$5*'Cancel Curves'!$D$12 + $BV$5*'Cancel Curves'!$C$12 + $BW$5*'Cancel Curves'!$B$12)*Assumptions!$B$76</f>
        <v/>
      </c>
    </row>
    <row r="14">
      <c r="A14" t="inlineStr">
        <is>
          <t>Initiation fee (new contracts × IAA)</t>
        </is>
      </c>
      <c r="D14" s="17">
        <f>D5*Assumptions!$B$32</f>
        <v/>
      </c>
      <c r="E14" s="17">
        <f>E5*Assumptions!$B$32</f>
        <v/>
      </c>
      <c r="F14" s="17">
        <f>F5*Assumptions!$B$32</f>
        <v/>
      </c>
      <c r="G14" s="17">
        <f>G5*Assumptions!$B$32</f>
        <v/>
      </c>
      <c r="H14" s="17">
        <f>H5*Assumptions!$B$32</f>
        <v/>
      </c>
      <c r="I14" s="17">
        <f>I5*Assumptions!$B$32</f>
        <v/>
      </c>
      <c r="J14" s="17">
        <f>J5*Assumptions!$B$32</f>
        <v/>
      </c>
      <c r="K14" s="17">
        <f>K5*Assumptions!$B$32</f>
        <v/>
      </c>
      <c r="L14" s="17">
        <f>L5*Assumptions!$B$32</f>
        <v/>
      </c>
      <c r="M14" s="17">
        <f>M5*Assumptions!$B$32</f>
        <v/>
      </c>
      <c r="N14" s="17">
        <f>N5*Assumptions!$B$32</f>
        <v/>
      </c>
      <c r="O14" s="17">
        <f>O5*Assumptions!$B$32</f>
        <v/>
      </c>
      <c r="P14" s="17">
        <f>P5*Assumptions!$B$32</f>
        <v/>
      </c>
      <c r="Q14" s="17">
        <f>Q5*Assumptions!$B$32</f>
        <v/>
      </c>
      <c r="R14" s="17">
        <f>R5*Assumptions!$B$32</f>
        <v/>
      </c>
      <c r="S14" s="17">
        <f>S5*Assumptions!$B$32</f>
        <v/>
      </c>
      <c r="T14" s="17">
        <f>T5*Assumptions!$B$32</f>
        <v/>
      </c>
      <c r="U14" s="17">
        <f>U5*Assumptions!$B$32</f>
        <v/>
      </c>
      <c r="V14" s="17">
        <f>V5*Assumptions!$B$32</f>
        <v/>
      </c>
      <c r="W14" s="17">
        <f>W5*Assumptions!$B$32</f>
        <v/>
      </c>
      <c r="X14" s="17">
        <f>X5*Assumptions!$B$32</f>
        <v/>
      </c>
      <c r="Y14" s="17">
        <f>Y5*Assumptions!$B$32</f>
        <v/>
      </c>
      <c r="Z14" s="17">
        <f>Z5*Assumptions!$B$32</f>
        <v/>
      </c>
      <c r="AA14" s="17">
        <f>AA5*Assumptions!$B$32</f>
        <v/>
      </c>
      <c r="AB14" s="17">
        <f>AB5*Assumptions!$B$32</f>
        <v/>
      </c>
      <c r="AC14" s="17">
        <f>AC5*Assumptions!$B$32</f>
        <v/>
      </c>
      <c r="AD14" s="17">
        <f>AD5*Assumptions!$B$32</f>
        <v/>
      </c>
      <c r="AE14" s="17">
        <f>AE5*Assumptions!$B$32</f>
        <v/>
      </c>
      <c r="AF14" s="17">
        <f>AF5*Assumptions!$B$32</f>
        <v/>
      </c>
      <c r="AG14" s="17">
        <f>AG5*Assumptions!$B$32</f>
        <v/>
      </c>
      <c r="AH14" s="17">
        <f>AH5*Assumptions!$B$32</f>
        <v/>
      </c>
      <c r="AI14" s="17">
        <f>AI5*Assumptions!$B$32</f>
        <v/>
      </c>
      <c r="AJ14" s="17">
        <f>AJ5*Assumptions!$B$32</f>
        <v/>
      </c>
      <c r="AK14" s="17">
        <f>AK5*Assumptions!$B$32</f>
        <v/>
      </c>
      <c r="AL14" s="17">
        <f>AL5*Assumptions!$B$32</f>
        <v/>
      </c>
      <c r="AM14" s="17">
        <f>AM5*Assumptions!$B$32</f>
        <v/>
      </c>
      <c r="AN14" s="17">
        <f>AN5*Assumptions!$B$32</f>
        <v/>
      </c>
      <c r="AO14" s="17">
        <f>AO5*Assumptions!$B$32</f>
        <v/>
      </c>
      <c r="AP14" s="17">
        <f>AP5*Assumptions!$B$32</f>
        <v/>
      </c>
      <c r="AQ14" s="17">
        <f>AQ5*Assumptions!$B$32</f>
        <v/>
      </c>
      <c r="AR14" s="17">
        <f>AR5*Assumptions!$B$32</f>
        <v/>
      </c>
      <c r="AS14" s="17">
        <f>AS5*Assumptions!$B$32</f>
        <v/>
      </c>
      <c r="AT14" s="17">
        <f>AT5*Assumptions!$B$32</f>
        <v/>
      </c>
      <c r="AU14" s="17">
        <f>AU5*Assumptions!$B$32</f>
        <v/>
      </c>
      <c r="AV14" s="17">
        <f>AV5*Assumptions!$B$32</f>
        <v/>
      </c>
      <c r="AW14" s="17">
        <f>AW5*Assumptions!$B$32</f>
        <v/>
      </c>
      <c r="AX14" s="17">
        <f>AX5*Assumptions!$B$32</f>
        <v/>
      </c>
      <c r="AY14" s="17">
        <f>AY5*Assumptions!$B$32</f>
        <v/>
      </c>
      <c r="AZ14" s="17">
        <f>AZ5*Assumptions!$B$32</f>
        <v/>
      </c>
      <c r="BA14" s="17">
        <f>BA5*Assumptions!$B$32</f>
        <v/>
      </c>
      <c r="BB14" s="17">
        <f>BB5*Assumptions!$B$32</f>
        <v/>
      </c>
      <c r="BC14" s="17">
        <f>BC5*Assumptions!$B$32</f>
        <v/>
      </c>
      <c r="BD14" s="17">
        <f>BD5*Assumptions!$B$32</f>
        <v/>
      </c>
      <c r="BE14" s="17">
        <f>BE5*Assumptions!$B$32</f>
        <v/>
      </c>
      <c r="BF14" s="17">
        <f>BF5*Assumptions!$B$32</f>
        <v/>
      </c>
      <c r="BG14" s="17">
        <f>BG5*Assumptions!$B$32</f>
        <v/>
      </c>
      <c r="BH14" s="17">
        <f>BH5*Assumptions!$B$32</f>
        <v/>
      </c>
      <c r="BI14" s="17">
        <f>BI5*Assumptions!$B$32</f>
        <v/>
      </c>
      <c r="BJ14" s="17">
        <f>BJ5*Assumptions!$B$32</f>
        <v/>
      </c>
      <c r="BK14" s="17">
        <f>BK5*Assumptions!$B$32</f>
        <v/>
      </c>
      <c r="BL14" s="17">
        <f>BL5*Assumptions!$B$32</f>
        <v/>
      </c>
      <c r="BM14" s="17">
        <f>BM5*Assumptions!$B$32</f>
        <v/>
      </c>
      <c r="BN14" s="17">
        <f>BN5*Assumptions!$B$32</f>
        <v/>
      </c>
      <c r="BO14" s="17">
        <f>BO5*Assumptions!$B$32</f>
        <v/>
      </c>
      <c r="BP14" s="17">
        <f>BP5*Assumptions!$B$32</f>
        <v/>
      </c>
      <c r="BQ14" s="17">
        <f>BQ5*Assumptions!$B$32</f>
        <v/>
      </c>
      <c r="BR14" s="17">
        <f>BR5*Assumptions!$B$32</f>
        <v/>
      </c>
      <c r="BS14" s="17">
        <f>BS5*Assumptions!$B$32</f>
        <v/>
      </c>
      <c r="BT14" s="17">
        <f>BT5*Assumptions!$B$32</f>
        <v/>
      </c>
      <c r="BU14" s="17">
        <f>BU5*Assumptions!$B$32</f>
        <v/>
      </c>
      <c r="BV14" s="17">
        <f>BV5*Assumptions!$B$32</f>
        <v/>
      </c>
      <c r="BW14" s="17">
        <f>BW5*Assumptions!$B$32</f>
        <v/>
      </c>
    </row>
    <row r="15">
      <c r="A15" s="1" t="inlineStr">
        <is>
          <t>Total revenue</t>
        </is>
      </c>
      <c r="D15" s="28">
        <f>D13+D14</f>
        <v/>
      </c>
      <c r="E15" s="28">
        <f>E13+E14</f>
        <v/>
      </c>
      <c r="F15" s="28">
        <f>F13+F14</f>
        <v/>
      </c>
      <c r="G15" s="28">
        <f>G13+G14</f>
        <v/>
      </c>
      <c r="H15" s="28">
        <f>H13+H14</f>
        <v/>
      </c>
      <c r="I15" s="28">
        <f>I13+I14</f>
        <v/>
      </c>
      <c r="J15" s="28">
        <f>J13+J14</f>
        <v/>
      </c>
      <c r="K15" s="28">
        <f>K13+K14</f>
        <v/>
      </c>
      <c r="L15" s="28">
        <f>L13+L14</f>
        <v/>
      </c>
      <c r="M15" s="28">
        <f>M13+M14</f>
        <v/>
      </c>
      <c r="N15" s="28">
        <f>N13+N14</f>
        <v/>
      </c>
      <c r="O15" s="28">
        <f>O13+O14</f>
        <v/>
      </c>
      <c r="P15" s="28">
        <f>P13+P14</f>
        <v/>
      </c>
      <c r="Q15" s="28">
        <f>Q13+Q14</f>
        <v/>
      </c>
      <c r="R15" s="28">
        <f>R13+R14</f>
        <v/>
      </c>
      <c r="S15" s="28">
        <f>S13+S14</f>
        <v/>
      </c>
      <c r="T15" s="28">
        <f>T13+T14</f>
        <v/>
      </c>
      <c r="U15" s="28">
        <f>U13+U14</f>
        <v/>
      </c>
      <c r="V15" s="28">
        <f>V13+V14</f>
        <v/>
      </c>
      <c r="W15" s="28">
        <f>W13+W14</f>
        <v/>
      </c>
      <c r="X15" s="28">
        <f>X13+X14</f>
        <v/>
      </c>
      <c r="Y15" s="28">
        <f>Y13+Y14</f>
        <v/>
      </c>
      <c r="Z15" s="28">
        <f>Z13+Z14</f>
        <v/>
      </c>
      <c r="AA15" s="28">
        <f>AA13+AA14</f>
        <v/>
      </c>
      <c r="AB15" s="28">
        <f>AB13+AB14</f>
        <v/>
      </c>
      <c r="AC15" s="28">
        <f>AC13+AC14</f>
        <v/>
      </c>
      <c r="AD15" s="28">
        <f>AD13+AD14</f>
        <v/>
      </c>
      <c r="AE15" s="28">
        <f>AE13+AE14</f>
        <v/>
      </c>
      <c r="AF15" s="28">
        <f>AF13+AF14</f>
        <v/>
      </c>
      <c r="AG15" s="28">
        <f>AG13+AG14</f>
        <v/>
      </c>
      <c r="AH15" s="28">
        <f>AH13+AH14</f>
        <v/>
      </c>
      <c r="AI15" s="28">
        <f>AI13+AI14</f>
        <v/>
      </c>
      <c r="AJ15" s="28">
        <f>AJ13+AJ14</f>
        <v/>
      </c>
      <c r="AK15" s="28">
        <f>AK13+AK14</f>
        <v/>
      </c>
      <c r="AL15" s="28">
        <f>AL13+AL14</f>
        <v/>
      </c>
      <c r="AM15" s="28">
        <f>AM13+AM14</f>
        <v/>
      </c>
      <c r="AN15" s="28">
        <f>AN13+AN14</f>
        <v/>
      </c>
      <c r="AO15" s="28">
        <f>AO13+AO14</f>
        <v/>
      </c>
      <c r="AP15" s="28">
        <f>AP13+AP14</f>
        <v/>
      </c>
      <c r="AQ15" s="28">
        <f>AQ13+AQ14</f>
        <v/>
      </c>
      <c r="AR15" s="28">
        <f>AR13+AR14</f>
        <v/>
      </c>
      <c r="AS15" s="28">
        <f>AS13+AS14</f>
        <v/>
      </c>
      <c r="AT15" s="28">
        <f>AT13+AT14</f>
        <v/>
      </c>
      <c r="AU15" s="28">
        <f>AU13+AU14</f>
        <v/>
      </c>
      <c r="AV15" s="28">
        <f>AV13+AV14</f>
        <v/>
      </c>
      <c r="AW15" s="28">
        <f>AW13+AW14</f>
        <v/>
      </c>
      <c r="AX15" s="28">
        <f>AX13+AX14</f>
        <v/>
      </c>
      <c r="AY15" s="28">
        <f>AY13+AY14</f>
        <v/>
      </c>
      <c r="AZ15" s="28">
        <f>AZ13+AZ14</f>
        <v/>
      </c>
      <c r="BA15" s="28">
        <f>BA13+BA14</f>
        <v/>
      </c>
      <c r="BB15" s="28">
        <f>BB13+BB14</f>
        <v/>
      </c>
      <c r="BC15" s="28">
        <f>BC13+BC14</f>
        <v/>
      </c>
      <c r="BD15" s="28">
        <f>BD13+BD14</f>
        <v/>
      </c>
      <c r="BE15" s="28">
        <f>BE13+BE14</f>
        <v/>
      </c>
      <c r="BF15" s="28">
        <f>BF13+BF14</f>
        <v/>
      </c>
      <c r="BG15" s="28">
        <f>BG13+BG14</f>
        <v/>
      </c>
      <c r="BH15" s="28">
        <f>BH13+BH14</f>
        <v/>
      </c>
      <c r="BI15" s="28">
        <f>BI13+BI14</f>
        <v/>
      </c>
      <c r="BJ15" s="28">
        <f>BJ13+BJ14</f>
        <v/>
      </c>
      <c r="BK15" s="28">
        <f>BK13+BK14</f>
        <v/>
      </c>
      <c r="BL15" s="28">
        <f>BL13+BL14</f>
        <v/>
      </c>
      <c r="BM15" s="28">
        <f>BM13+BM14</f>
        <v/>
      </c>
      <c r="BN15" s="28">
        <f>BN13+BN14</f>
        <v/>
      </c>
      <c r="BO15" s="28">
        <f>BO13+BO14</f>
        <v/>
      </c>
      <c r="BP15" s="28">
        <f>BP13+BP14</f>
        <v/>
      </c>
      <c r="BQ15" s="28">
        <f>BQ13+BQ14</f>
        <v/>
      </c>
      <c r="BR15" s="28">
        <f>BR13+BR14</f>
        <v/>
      </c>
      <c r="BS15" s="28">
        <f>BS13+BS14</f>
        <v/>
      </c>
      <c r="BT15" s="28">
        <f>BT13+BT14</f>
        <v/>
      </c>
      <c r="BU15" s="28">
        <f>BU13+BU14</f>
        <v/>
      </c>
      <c r="BV15" s="28">
        <f>BV13+BV14</f>
        <v/>
      </c>
      <c r="BW15" s="28">
        <f>BW13+BW14</f>
        <v/>
      </c>
    </row>
    <row r="17">
      <c r="A17" s="97" t="inlineStr">
        <is>
          <t>COST OF SERVICE</t>
        </is>
      </c>
    </row>
    <row r="18">
      <c r="A18" t="inlineStr">
        <is>
          <t>Claims expense (active × claims reserve / 12)</t>
        </is>
      </c>
      <c r="D18" s="17">
        <f>IF(1&lt;Assumptions!$B$25,0,D6*Assumptions!$B$24/12)</f>
        <v/>
      </c>
      <c r="E18" s="17">
        <f>IF(2&lt;Assumptions!$B$25,0,E6*Assumptions!$B$24/12)</f>
        <v/>
      </c>
      <c r="F18" s="17">
        <f>IF(3&lt;Assumptions!$B$25,0,F6*Assumptions!$B$24/12)</f>
        <v/>
      </c>
      <c r="G18" s="17">
        <f>IF(4&lt;Assumptions!$B$25,0,G6*Assumptions!$B$24/12)</f>
        <v/>
      </c>
      <c r="H18" s="17">
        <f>IF(5&lt;Assumptions!$B$25,0,H6*Assumptions!$B$24/12)</f>
        <v/>
      </c>
      <c r="I18" s="17">
        <f>IF(6&lt;Assumptions!$B$25,0,I6*Assumptions!$B$24/12)</f>
        <v/>
      </c>
      <c r="J18" s="17">
        <f>IF(7&lt;Assumptions!$B$25,0,J6*Assumptions!$B$24/12)</f>
        <v/>
      </c>
      <c r="K18" s="17">
        <f>IF(8&lt;Assumptions!$B$25,0,K6*Assumptions!$B$24/12)</f>
        <v/>
      </c>
      <c r="L18" s="17">
        <f>IF(9&lt;Assumptions!$B$25,0,L6*Assumptions!$B$24/12)</f>
        <v/>
      </c>
      <c r="M18" s="17">
        <f>IF(10&lt;Assumptions!$B$25,0,M6*Assumptions!$B$24/12)</f>
        <v/>
      </c>
      <c r="N18" s="17">
        <f>IF(11&lt;Assumptions!$B$25,0,N6*Assumptions!$B$24/12)</f>
        <v/>
      </c>
      <c r="O18" s="17">
        <f>IF(12&lt;Assumptions!$B$25,0,O6*Assumptions!$B$24/12)</f>
        <v/>
      </c>
      <c r="P18" s="17">
        <f>IF(13&lt;Assumptions!$B$25,0,P6*Assumptions!$B$24/12)</f>
        <v/>
      </c>
      <c r="Q18" s="17">
        <f>IF(14&lt;Assumptions!$B$25,0,Q6*Assumptions!$B$24/12)</f>
        <v/>
      </c>
      <c r="R18" s="17">
        <f>IF(15&lt;Assumptions!$B$25,0,R6*Assumptions!$B$24/12)</f>
        <v/>
      </c>
      <c r="S18" s="17">
        <f>IF(16&lt;Assumptions!$B$25,0,S6*Assumptions!$B$24/12)</f>
        <v/>
      </c>
      <c r="T18" s="17">
        <f>IF(17&lt;Assumptions!$B$25,0,T6*Assumptions!$B$24/12)</f>
        <v/>
      </c>
      <c r="U18" s="17">
        <f>IF(18&lt;Assumptions!$B$25,0,U6*Assumptions!$B$24/12)</f>
        <v/>
      </c>
      <c r="V18" s="17">
        <f>IF(19&lt;Assumptions!$B$25,0,V6*Assumptions!$B$24/12)</f>
        <v/>
      </c>
      <c r="W18" s="17">
        <f>IF(20&lt;Assumptions!$B$25,0,W6*Assumptions!$B$24/12)</f>
        <v/>
      </c>
      <c r="X18" s="17">
        <f>IF(21&lt;Assumptions!$B$25,0,X6*Assumptions!$B$24/12)</f>
        <v/>
      </c>
      <c r="Y18" s="17">
        <f>IF(22&lt;Assumptions!$B$25,0,Y6*Assumptions!$B$24/12)</f>
        <v/>
      </c>
      <c r="Z18" s="17">
        <f>IF(23&lt;Assumptions!$B$25,0,Z6*Assumptions!$B$24/12)</f>
        <v/>
      </c>
      <c r="AA18" s="17">
        <f>IF(24&lt;Assumptions!$B$25,0,AA6*Assumptions!$B$24/12)</f>
        <v/>
      </c>
      <c r="AB18" s="17">
        <f>IF(25&lt;Assumptions!$B$25,0,AB6*Assumptions!$B$24/12)</f>
        <v/>
      </c>
      <c r="AC18" s="17">
        <f>IF(26&lt;Assumptions!$B$25,0,AC6*Assumptions!$B$24/12)</f>
        <v/>
      </c>
      <c r="AD18" s="17">
        <f>IF(27&lt;Assumptions!$B$25,0,AD6*Assumptions!$B$24/12)</f>
        <v/>
      </c>
      <c r="AE18" s="17">
        <f>IF(28&lt;Assumptions!$B$25,0,AE6*Assumptions!$B$24/12)</f>
        <v/>
      </c>
      <c r="AF18" s="17">
        <f>IF(29&lt;Assumptions!$B$25,0,AF6*Assumptions!$B$24/12)</f>
        <v/>
      </c>
      <c r="AG18" s="17">
        <f>IF(30&lt;Assumptions!$B$25,0,AG6*Assumptions!$B$24/12)</f>
        <v/>
      </c>
      <c r="AH18" s="17">
        <f>IF(31&lt;Assumptions!$B$25,0,AH6*Assumptions!$B$24/12)</f>
        <v/>
      </c>
      <c r="AI18" s="17">
        <f>IF(32&lt;Assumptions!$B$25,0,AI6*Assumptions!$B$24/12)</f>
        <v/>
      </c>
      <c r="AJ18" s="17">
        <f>IF(33&lt;Assumptions!$B$25,0,AJ6*Assumptions!$B$24/12)</f>
        <v/>
      </c>
      <c r="AK18" s="17">
        <f>IF(34&lt;Assumptions!$B$25,0,AK6*Assumptions!$B$24/12)</f>
        <v/>
      </c>
      <c r="AL18" s="17">
        <f>IF(35&lt;Assumptions!$B$25,0,AL6*Assumptions!$B$24/12)</f>
        <v/>
      </c>
      <c r="AM18" s="17">
        <f>IF(36&lt;Assumptions!$B$25,0,AM6*Assumptions!$B$24/12)</f>
        <v/>
      </c>
      <c r="AN18" s="17">
        <f>IF(37&lt;Assumptions!$B$25,0,AN6*Assumptions!$B$24/12)</f>
        <v/>
      </c>
      <c r="AO18" s="17">
        <f>IF(38&lt;Assumptions!$B$25,0,AO6*Assumptions!$B$24/12)</f>
        <v/>
      </c>
      <c r="AP18" s="17">
        <f>IF(39&lt;Assumptions!$B$25,0,AP6*Assumptions!$B$24/12)</f>
        <v/>
      </c>
      <c r="AQ18" s="17">
        <f>IF(40&lt;Assumptions!$B$25,0,AQ6*Assumptions!$B$24/12)</f>
        <v/>
      </c>
      <c r="AR18" s="17">
        <f>IF(41&lt;Assumptions!$B$25,0,AR6*Assumptions!$B$24/12)</f>
        <v/>
      </c>
      <c r="AS18" s="17">
        <f>IF(42&lt;Assumptions!$B$25,0,AS6*Assumptions!$B$24/12)</f>
        <v/>
      </c>
      <c r="AT18" s="17">
        <f>IF(43&lt;Assumptions!$B$25,0,AT6*Assumptions!$B$24/12)</f>
        <v/>
      </c>
      <c r="AU18" s="17">
        <f>IF(44&lt;Assumptions!$B$25,0,AU6*Assumptions!$B$24/12)</f>
        <v/>
      </c>
      <c r="AV18" s="17">
        <f>IF(45&lt;Assumptions!$B$25,0,AV6*Assumptions!$B$24/12)</f>
        <v/>
      </c>
      <c r="AW18" s="17">
        <f>IF(46&lt;Assumptions!$B$25,0,AW6*Assumptions!$B$24/12)</f>
        <v/>
      </c>
      <c r="AX18" s="17">
        <f>IF(47&lt;Assumptions!$B$25,0,AX6*Assumptions!$B$24/12)</f>
        <v/>
      </c>
      <c r="AY18" s="17">
        <f>IF(48&lt;Assumptions!$B$25,0,AY6*Assumptions!$B$24/12)</f>
        <v/>
      </c>
      <c r="AZ18" s="17">
        <f>IF(49&lt;Assumptions!$B$25,0,AZ6*Assumptions!$B$24/12)</f>
        <v/>
      </c>
      <c r="BA18" s="17">
        <f>IF(50&lt;Assumptions!$B$25,0,BA6*Assumptions!$B$24/12)</f>
        <v/>
      </c>
      <c r="BB18" s="17">
        <f>IF(51&lt;Assumptions!$B$25,0,BB6*Assumptions!$B$24/12)</f>
        <v/>
      </c>
      <c r="BC18" s="17">
        <f>IF(52&lt;Assumptions!$B$25,0,BC6*Assumptions!$B$24/12)</f>
        <v/>
      </c>
      <c r="BD18" s="17">
        <f>IF(53&lt;Assumptions!$B$25,0,BD6*Assumptions!$B$24/12)</f>
        <v/>
      </c>
      <c r="BE18" s="17">
        <f>IF(54&lt;Assumptions!$B$25,0,BE6*Assumptions!$B$24/12)</f>
        <v/>
      </c>
      <c r="BF18" s="17">
        <f>IF(55&lt;Assumptions!$B$25,0,BF6*Assumptions!$B$24/12)</f>
        <v/>
      </c>
      <c r="BG18" s="17">
        <f>IF(56&lt;Assumptions!$B$25,0,BG6*Assumptions!$B$24/12)</f>
        <v/>
      </c>
      <c r="BH18" s="17">
        <f>IF(57&lt;Assumptions!$B$25,0,BH6*Assumptions!$B$24/12)</f>
        <v/>
      </c>
      <c r="BI18" s="17">
        <f>IF(58&lt;Assumptions!$B$25,0,BI6*Assumptions!$B$24/12)</f>
        <v/>
      </c>
      <c r="BJ18" s="17">
        <f>IF(59&lt;Assumptions!$B$25,0,BJ6*Assumptions!$B$24/12)</f>
        <v/>
      </c>
      <c r="BK18" s="17">
        <f>IF(60&lt;Assumptions!$B$25,0,BK6*Assumptions!$B$24/12)</f>
        <v/>
      </c>
      <c r="BL18" s="17">
        <f>IF(61&lt;Assumptions!$B$25,0,BL6*Assumptions!$B$24/12)</f>
        <v/>
      </c>
      <c r="BM18" s="17">
        <f>IF(62&lt;Assumptions!$B$25,0,BM6*Assumptions!$B$24/12)</f>
        <v/>
      </c>
      <c r="BN18" s="17">
        <f>IF(63&lt;Assumptions!$B$25,0,BN6*Assumptions!$B$24/12)</f>
        <v/>
      </c>
      <c r="BO18" s="17">
        <f>IF(64&lt;Assumptions!$B$25,0,BO6*Assumptions!$B$24/12)</f>
        <v/>
      </c>
      <c r="BP18" s="17">
        <f>IF(65&lt;Assumptions!$B$25,0,BP6*Assumptions!$B$24/12)</f>
        <v/>
      </c>
      <c r="BQ18" s="17">
        <f>IF(66&lt;Assumptions!$B$25,0,BQ6*Assumptions!$B$24/12)</f>
        <v/>
      </c>
      <c r="BR18" s="17">
        <f>IF(67&lt;Assumptions!$B$25,0,BR6*Assumptions!$B$24/12)</f>
        <v/>
      </c>
      <c r="BS18" s="17">
        <f>IF(68&lt;Assumptions!$B$25,0,BS6*Assumptions!$B$24/12)</f>
        <v/>
      </c>
      <c r="BT18" s="17">
        <f>IF(69&lt;Assumptions!$B$25,0,BT6*Assumptions!$B$24/12)</f>
        <v/>
      </c>
      <c r="BU18" s="17">
        <f>IF(70&lt;Assumptions!$B$25,0,BU6*Assumptions!$B$24/12)</f>
        <v/>
      </c>
      <c r="BV18" s="17">
        <f>IF(71&lt;Assumptions!$B$25,0,BV6*Assumptions!$B$24/12)</f>
        <v/>
      </c>
      <c r="BW18" s="17">
        <f>IF(72&lt;Assumptions!$B$25,0,BW6*Assumptions!$B$24/12)</f>
        <v/>
      </c>
    </row>
    <row r="19">
      <c r="A19" t="inlineStr">
        <is>
          <t>Contract insurance (Lloyd's premium)</t>
        </is>
      </c>
      <c r="D19" s="17">
        <f>D5*Assumptions!$B$20</f>
        <v/>
      </c>
      <c r="E19" s="17">
        <f>E5*Assumptions!$B$20</f>
        <v/>
      </c>
      <c r="F19" s="17">
        <f>F5*Assumptions!$B$20</f>
        <v/>
      </c>
      <c r="G19" s="17">
        <f>G5*Assumptions!$B$20</f>
        <v/>
      </c>
      <c r="H19" s="17">
        <f>H5*Assumptions!$B$20</f>
        <v/>
      </c>
      <c r="I19" s="17">
        <f>I5*Assumptions!$B$20</f>
        <v/>
      </c>
      <c r="J19" s="17">
        <f>J5*Assumptions!$B$20</f>
        <v/>
      </c>
      <c r="K19" s="17">
        <f>K5*Assumptions!$B$20</f>
        <v/>
      </c>
      <c r="L19" s="17">
        <f>L5*Assumptions!$B$20</f>
        <v/>
      </c>
      <c r="M19" s="17">
        <f>M5*Assumptions!$B$20</f>
        <v/>
      </c>
      <c r="N19" s="17">
        <f>N5*Assumptions!$B$20</f>
        <v/>
      </c>
      <c r="O19" s="17">
        <f>O5*Assumptions!$B$20</f>
        <v/>
      </c>
      <c r="P19" s="17">
        <f>P5*Assumptions!$B$20</f>
        <v/>
      </c>
      <c r="Q19" s="17">
        <f>Q5*Assumptions!$B$20</f>
        <v/>
      </c>
      <c r="R19" s="17">
        <f>R5*Assumptions!$B$20</f>
        <v/>
      </c>
      <c r="S19" s="17">
        <f>S5*Assumptions!$B$20</f>
        <v/>
      </c>
      <c r="T19" s="17">
        <f>T5*Assumptions!$B$20</f>
        <v/>
      </c>
      <c r="U19" s="17">
        <f>U5*Assumptions!$B$20</f>
        <v/>
      </c>
      <c r="V19" s="17">
        <f>V5*Assumptions!$B$20</f>
        <v/>
      </c>
      <c r="W19" s="17">
        <f>W5*Assumptions!$B$20</f>
        <v/>
      </c>
      <c r="X19" s="17">
        <f>X5*Assumptions!$B$20</f>
        <v/>
      </c>
      <c r="Y19" s="17">
        <f>Y5*Assumptions!$B$20</f>
        <v/>
      </c>
      <c r="Z19" s="17">
        <f>Z5*Assumptions!$B$20</f>
        <v/>
      </c>
      <c r="AA19" s="17">
        <f>AA5*Assumptions!$B$20</f>
        <v/>
      </c>
      <c r="AB19" s="17">
        <f>AB5*Assumptions!$B$20</f>
        <v/>
      </c>
      <c r="AC19" s="17">
        <f>AC5*Assumptions!$B$20</f>
        <v/>
      </c>
      <c r="AD19" s="17">
        <f>AD5*Assumptions!$B$20</f>
        <v/>
      </c>
      <c r="AE19" s="17">
        <f>AE5*Assumptions!$B$20</f>
        <v/>
      </c>
      <c r="AF19" s="17">
        <f>AF5*Assumptions!$B$20</f>
        <v/>
      </c>
      <c r="AG19" s="17">
        <f>AG5*Assumptions!$B$20</f>
        <v/>
      </c>
      <c r="AH19" s="17">
        <f>AH5*Assumptions!$B$20</f>
        <v/>
      </c>
      <c r="AI19" s="17">
        <f>AI5*Assumptions!$B$20</f>
        <v/>
      </c>
      <c r="AJ19" s="17">
        <f>AJ5*Assumptions!$B$20</f>
        <v/>
      </c>
      <c r="AK19" s="17">
        <f>AK5*Assumptions!$B$20</f>
        <v/>
      </c>
      <c r="AL19" s="17">
        <f>AL5*Assumptions!$B$20</f>
        <v/>
      </c>
      <c r="AM19" s="17">
        <f>AM5*Assumptions!$B$20</f>
        <v/>
      </c>
      <c r="AN19" s="17">
        <f>AN5*Assumptions!$B$20</f>
        <v/>
      </c>
      <c r="AO19" s="17">
        <f>AO5*Assumptions!$B$20</f>
        <v/>
      </c>
      <c r="AP19" s="17">
        <f>AP5*Assumptions!$B$20</f>
        <v/>
      </c>
      <c r="AQ19" s="17">
        <f>AQ5*Assumptions!$B$20</f>
        <v/>
      </c>
      <c r="AR19" s="17">
        <f>AR5*Assumptions!$B$20</f>
        <v/>
      </c>
      <c r="AS19" s="17">
        <f>AS5*Assumptions!$B$20</f>
        <v/>
      </c>
      <c r="AT19" s="17">
        <f>AT5*Assumptions!$B$20</f>
        <v/>
      </c>
      <c r="AU19" s="17">
        <f>AU5*Assumptions!$B$20</f>
        <v/>
      </c>
      <c r="AV19" s="17">
        <f>AV5*Assumptions!$B$20</f>
        <v/>
      </c>
      <c r="AW19" s="17">
        <f>AW5*Assumptions!$B$20</f>
        <v/>
      </c>
      <c r="AX19" s="17">
        <f>AX5*Assumptions!$B$20</f>
        <v/>
      </c>
      <c r="AY19" s="17">
        <f>AY5*Assumptions!$B$20</f>
        <v/>
      </c>
      <c r="AZ19" s="17">
        <f>AZ5*Assumptions!$B$20</f>
        <v/>
      </c>
      <c r="BA19" s="17">
        <f>BA5*Assumptions!$B$20</f>
        <v/>
      </c>
      <c r="BB19" s="17">
        <f>BB5*Assumptions!$B$20</f>
        <v/>
      </c>
      <c r="BC19" s="17">
        <f>BC5*Assumptions!$B$20</f>
        <v/>
      </c>
      <c r="BD19" s="17">
        <f>BD5*Assumptions!$B$20</f>
        <v/>
      </c>
      <c r="BE19" s="17">
        <f>BE5*Assumptions!$B$20</f>
        <v/>
      </c>
      <c r="BF19" s="17">
        <f>BF5*Assumptions!$B$20</f>
        <v/>
      </c>
      <c r="BG19" s="17">
        <f>BG5*Assumptions!$B$20</f>
        <v/>
      </c>
      <c r="BH19" s="17">
        <f>BH5*Assumptions!$B$20</f>
        <v/>
      </c>
      <c r="BI19" s="17">
        <f>BI5*Assumptions!$B$20</f>
        <v/>
      </c>
      <c r="BJ19" s="17">
        <f>BJ5*Assumptions!$B$20</f>
        <v/>
      </c>
      <c r="BK19" s="17">
        <f>BK5*Assumptions!$B$20</f>
        <v/>
      </c>
      <c r="BL19" s="17">
        <f>BL5*Assumptions!$B$20</f>
        <v/>
      </c>
      <c r="BM19" s="17">
        <f>BM5*Assumptions!$B$20</f>
        <v/>
      </c>
      <c r="BN19" s="17">
        <f>BN5*Assumptions!$B$20</f>
        <v/>
      </c>
      <c r="BO19" s="17">
        <f>BO5*Assumptions!$B$20</f>
        <v/>
      </c>
      <c r="BP19" s="17">
        <f>BP5*Assumptions!$B$20</f>
        <v/>
      </c>
      <c r="BQ19" s="17">
        <f>BQ5*Assumptions!$B$20</f>
        <v/>
      </c>
      <c r="BR19" s="17">
        <f>BR5*Assumptions!$B$20</f>
        <v/>
      </c>
      <c r="BS19" s="17">
        <f>BS5*Assumptions!$B$20</f>
        <v/>
      </c>
      <c r="BT19" s="17">
        <f>BT5*Assumptions!$B$20</f>
        <v/>
      </c>
      <c r="BU19" s="17">
        <f>BU5*Assumptions!$B$20</f>
        <v/>
      </c>
      <c r="BV19" s="17">
        <f>BV5*Assumptions!$B$20</f>
        <v/>
      </c>
      <c r="BW19" s="17">
        <f>BW5*Assumptions!$B$20</f>
        <v/>
      </c>
    </row>
    <row r="20">
      <c r="A20" t="inlineStr">
        <is>
          <t>Finance fees</t>
        </is>
      </c>
      <c r="D20" s="17">
        <f>D6*D12*Assumptions!$B$26</f>
        <v/>
      </c>
      <c r="E20" s="17">
        <f>E6*E12*Assumptions!$B$26</f>
        <v/>
      </c>
      <c r="F20" s="17">
        <f>F6*F12*Assumptions!$B$26</f>
        <v/>
      </c>
      <c r="G20" s="17">
        <f>G6*G12*Assumptions!$B$26</f>
        <v/>
      </c>
      <c r="H20" s="17">
        <f>H6*H12*Assumptions!$B$26</f>
        <v/>
      </c>
      <c r="I20" s="17">
        <f>I6*I12*Assumptions!$B$26</f>
        <v/>
      </c>
      <c r="J20" s="17">
        <f>J6*J12*Assumptions!$B$26</f>
        <v/>
      </c>
      <c r="K20" s="17">
        <f>K6*K12*Assumptions!$B$26</f>
        <v/>
      </c>
      <c r="L20" s="17">
        <f>L6*L12*Assumptions!$B$26</f>
        <v/>
      </c>
      <c r="M20" s="17">
        <f>M6*M12*Assumptions!$B$26</f>
        <v/>
      </c>
      <c r="N20" s="17">
        <f>N6*N12*Assumptions!$B$26</f>
        <v/>
      </c>
      <c r="O20" s="17">
        <f>O6*O12*Assumptions!$B$26</f>
        <v/>
      </c>
      <c r="P20" s="17">
        <f>P6*P12*Assumptions!$B$26</f>
        <v/>
      </c>
      <c r="Q20" s="17">
        <f>Q6*Q12*Assumptions!$B$26</f>
        <v/>
      </c>
      <c r="R20" s="17">
        <f>R6*R12*Assumptions!$B$26</f>
        <v/>
      </c>
      <c r="S20" s="17">
        <f>S6*S12*Assumptions!$B$26</f>
        <v/>
      </c>
      <c r="T20" s="17">
        <f>T6*T12*Assumptions!$B$26</f>
        <v/>
      </c>
      <c r="U20" s="17">
        <f>U6*U12*Assumptions!$B$26</f>
        <v/>
      </c>
      <c r="V20" s="17">
        <f>V6*V12*Assumptions!$B$26</f>
        <v/>
      </c>
      <c r="W20" s="17">
        <f>W6*W12*Assumptions!$B$26</f>
        <v/>
      </c>
      <c r="X20" s="17">
        <f>X6*X12*Assumptions!$B$26</f>
        <v/>
      </c>
      <c r="Y20" s="17">
        <f>Y6*Y12*Assumptions!$B$26</f>
        <v/>
      </c>
      <c r="Z20" s="17">
        <f>Z6*Z12*Assumptions!$B$26</f>
        <v/>
      </c>
      <c r="AA20" s="17">
        <f>AA6*AA12*Assumptions!$B$26</f>
        <v/>
      </c>
      <c r="AB20" s="17">
        <f>AB6*AB12*Assumptions!$B$26</f>
        <v/>
      </c>
      <c r="AC20" s="17">
        <f>AC6*AC12*Assumptions!$B$26</f>
        <v/>
      </c>
      <c r="AD20" s="17">
        <f>AD6*AD12*Assumptions!$B$26</f>
        <v/>
      </c>
      <c r="AE20" s="17">
        <f>AE6*AE12*Assumptions!$B$26</f>
        <v/>
      </c>
      <c r="AF20" s="17">
        <f>AF6*AF12*Assumptions!$B$26</f>
        <v/>
      </c>
      <c r="AG20" s="17">
        <f>AG6*AG12*Assumptions!$B$26</f>
        <v/>
      </c>
      <c r="AH20" s="17">
        <f>AH6*AH12*Assumptions!$B$26</f>
        <v/>
      </c>
      <c r="AI20" s="17">
        <f>AI6*AI12*Assumptions!$B$26</f>
        <v/>
      </c>
      <c r="AJ20" s="17">
        <f>AJ6*AJ12*Assumptions!$B$26</f>
        <v/>
      </c>
      <c r="AK20" s="17">
        <f>AK6*AK12*Assumptions!$B$26</f>
        <v/>
      </c>
      <c r="AL20" s="17">
        <f>AL6*AL12*Assumptions!$B$26</f>
        <v/>
      </c>
      <c r="AM20" s="17">
        <f>AM6*AM12*Assumptions!$B$26</f>
        <v/>
      </c>
      <c r="AN20" s="17">
        <f>AN6*AN12*Assumptions!$B$26</f>
        <v/>
      </c>
      <c r="AO20" s="17">
        <f>AO6*AO12*Assumptions!$B$26</f>
        <v/>
      </c>
      <c r="AP20" s="17">
        <f>AP6*AP12*Assumptions!$B$26</f>
        <v/>
      </c>
      <c r="AQ20" s="17">
        <f>AQ6*AQ12*Assumptions!$B$26</f>
        <v/>
      </c>
      <c r="AR20" s="17">
        <f>AR6*AR12*Assumptions!$B$26</f>
        <v/>
      </c>
      <c r="AS20" s="17">
        <f>AS6*AS12*Assumptions!$B$26</f>
        <v/>
      </c>
      <c r="AT20" s="17">
        <f>AT6*AT12*Assumptions!$B$26</f>
        <v/>
      </c>
      <c r="AU20" s="17">
        <f>AU6*AU12*Assumptions!$B$26</f>
        <v/>
      </c>
      <c r="AV20" s="17">
        <f>AV6*AV12*Assumptions!$B$26</f>
        <v/>
      </c>
      <c r="AW20" s="17">
        <f>AW6*AW12*Assumptions!$B$26</f>
        <v/>
      </c>
      <c r="AX20" s="17">
        <f>AX6*AX12*Assumptions!$B$26</f>
        <v/>
      </c>
      <c r="AY20" s="17">
        <f>AY6*AY12*Assumptions!$B$26</f>
        <v/>
      </c>
      <c r="AZ20" s="17">
        <f>AZ6*AZ12*Assumptions!$B$26</f>
        <v/>
      </c>
      <c r="BA20" s="17">
        <f>BA6*BA12*Assumptions!$B$26</f>
        <v/>
      </c>
      <c r="BB20" s="17">
        <f>BB6*BB12*Assumptions!$B$26</f>
        <v/>
      </c>
      <c r="BC20" s="17">
        <f>BC6*BC12*Assumptions!$B$26</f>
        <v/>
      </c>
      <c r="BD20" s="17">
        <f>BD6*BD12*Assumptions!$B$26</f>
        <v/>
      </c>
      <c r="BE20" s="17">
        <f>BE6*BE12*Assumptions!$B$26</f>
        <v/>
      </c>
      <c r="BF20" s="17">
        <f>BF6*BF12*Assumptions!$B$26</f>
        <v/>
      </c>
      <c r="BG20" s="17">
        <f>BG6*BG12*Assumptions!$B$26</f>
        <v/>
      </c>
      <c r="BH20" s="17">
        <f>BH6*BH12*Assumptions!$B$26</f>
        <v/>
      </c>
      <c r="BI20" s="17">
        <f>BI6*BI12*Assumptions!$B$26</f>
        <v/>
      </c>
      <c r="BJ20" s="17">
        <f>BJ6*BJ12*Assumptions!$B$26</f>
        <v/>
      </c>
      <c r="BK20" s="17">
        <f>BK6*BK12*Assumptions!$B$26</f>
        <v/>
      </c>
      <c r="BL20" s="17">
        <f>BL6*BL12*Assumptions!$B$26</f>
        <v/>
      </c>
      <c r="BM20" s="17">
        <f>BM6*BM12*Assumptions!$B$26</f>
        <v/>
      </c>
      <c r="BN20" s="17">
        <f>BN6*BN12*Assumptions!$B$26</f>
        <v/>
      </c>
      <c r="BO20" s="17">
        <f>BO6*BO12*Assumptions!$B$26</f>
        <v/>
      </c>
      <c r="BP20" s="17">
        <f>BP6*BP12*Assumptions!$B$26</f>
        <v/>
      </c>
      <c r="BQ20" s="17">
        <f>BQ6*BQ12*Assumptions!$B$26</f>
        <v/>
      </c>
      <c r="BR20" s="17">
        <f>BR6*BR12*Assumptions!$B$26</f>
        <v/>
      </c>
      <c r="BS20" s="17">
        <f>BS6*BS12*Assumptions!$B$26</f>
        <v/>
      </c>
      <c r="BT20" s="17">
        <f>BT6*BT12*Assumptions!$B$26</f>
        <v/>
      </c>
      <c r="BU20" s="17">
        <f>BU6*BU12*Assumptions!$B$26</f>
        <v/>
      </c>
      <c r="BV20" s="17">
        <f>BV6*BV12*Assumptions!$B$26</f>
        <v/>
      </c>
      <c r="BW20" s="17">
        <f>BW6*BW12*Assumptions!$B$26</f>
        <v/>
      </c>
    </row>
    <row r="22">
      <c r="A22" t="inlineStr">
        <is>
          <t>Fulfillment — postage + printing</t>
        </is>
      </c>
      <c r="D22" s="17">
        <f>D5*(Assumptions!$B$29+Assumptions!$B$30)</f>
        <v/>
      </c>
      <c r="E22" s="17">
        <f>E5*(Assumptions!$B$29+Assumptions!$B$30)</f>
        <v/>
      </c>
      <c r="F22" s="17">
        <f>F5*(Assumptions!$B$29+Assumptions!$B$30)</f>
        <v/>
      </c>
      <c r="G22" s="17">
        <f>G5*(Assumptions!$B$29+Assumptions!$B$30)</f>
        <v/>
      </c>
      <c r="H22" s="17">
        <f>H5*(Assumptions!$B$29+Assumptions!$B$30)</f>
        <v/>
      </c>
      <c r="I22" s="17">
        <f>I5*(Assumptions!$B$29+Assumptions!$B$30)</f>
        <v/>
      </c>
      <c r="J22" s="17">
        <f>J5*(Assumptions!$B$29+Assumptions!$B$30)</f>
        <v/>
      </c>
      <c r="K22" s="17">
        <f>K5*(Assumptions!$B$29+Assumptions!$B$30)</f>
        <v/>
      </c>
      <c r="L22" s="17">
        <f>L5*(Assumptions!$B$29+Assumptions!$B$30)</f>
        <v/>
      </c>
      <c r="M22" s="17">
        <f>M5*(Assumptions!$B$29+Assumptions!$B$30)</f>
        <v/>
      </c>
      <c r="N22" s="17">
        <f>N5*(Assumptions!$B$29+Assumptions!$B$30)</f>
        <v/>
      </c>
      <c r="O22" s="17">
        <f>O5*(Assumptions!$B$29+Assumptions!$B$30)</f>
        <v/>
      </c>
      <c r="P22" s="17">
        <f>P5*(Assumptions!$B$29+Assumptions!$B$30)</f>
        <v/>
      </c>
      <c r="Q22" s="17">
        <f>Q5*(Assumptions!$B$29+Assumptions!$B$30)</f>
        <v/>
      </c>
      <c r="R22" s="17">
        <f>R5*(Assumptions!$B$29+Assumptions!$B$30)</f>
        <v/>
      </c>
      <c r="S22" s="17">
        <f>S5*(Assumptions!$B$29+Assumptions!$B$30)</f>
        <v/>
      </c>
      <c r="T22" s="17">
        <f>T5*(Assumptions!$B$29+Assumptions!$B$30)</f>
        <v/>
      </c>
      <c r="U22" s="17">
        <f>U5*(Assumptions!$B$29+Assumptions!$B$30)</f>
        <v/>
      </c>
      <c r="V22" s="17">
        <f>V5*(Assumptions!$B$29+Assumptions!$B$30)</f>
        <v/>
      </c>
      <c r="W22" s="17">
        <f>W5*(Assumptions!$B$29+Assumptions!$B$30)</f>
        <v/>
      </c>
      <c r="X22" s="17">
        <f>X5*(Assumptions!$B$29+Assumptions!$B$30)</f>
        <v/>
      </c>
      <c r="Y22" s="17">
        <f>Y5*(Assumptions!$B$29+Assumptions!$B$30)</f>
        <v/>
      </c>
      <c r="Z22" s="17">
        <f>Z5*(Assumptions!$B$29+Assumptions!$B$30)</f>
        <v/>
      </c>
      <c r="AA22" s="17">
        <f>AA5*(Assumptions!$B$29+Assumptions!$B$30)</f>
        <v/>
      </c>
      <c r="AB22" s="17">
        <f>AB5*(Assumptions!$B$29+Assumptions!$B$30)</f>
        <v/>
      </c>
      <c r="AC22" s="17">
        <f>AC5*(Assumptions!$B$29+Assumptions!$B$30)</f>
        <v/>
      </c>
      <c r="AD22" s="17">
        <f>AD5*(Assumptions!$B$29+Assumptions!$B$30)</f>
        <v/>
      </c>
      <c r="AE22" s="17">
        <f>AE5*(Assumptions!$B$29+Assumptions!$B$30)</f>
        <v/>
      </c>
      <c r="AF22" s="17">
        <f>AF5*(Assumptions!$B$29+Assumptions!$B$30)</f>
        <v/>
      </c>
      <c r="AG22" s="17">
        <f>AG5*(Assumptions!$B$29+Assumptions!$B$30)</f>
        <v/>
      </c>
      <c r="AH22" s="17">
        <f>AH5*(Assumptions!$B$29+Assumptions!$B$30)</f>
        <v/>
      </c>
      <c r="AI22" s="17">
        <f>AI5*(Assumptions!$B$29+Assumptions!$B$30)</f>
        <v/>
      </c>
      <c r="AJ22" s="17">
        <f>AJ5*(Assumptions!$B$29+Assumptions!$B$30)</f>
        <v/>
      </c>
      <c r="AK22" s="17">
        <f>AK5*(Assumptions!$B$29+Assumptions!$B$30)</f>
        <v/>
      </c>
      <c r="AL22" s="17">
        <f>AL5*(Assumptions!$B$29+Assumptions!$B$30)</f>
        <v/>
      </c>
      <c r="AM22" s="17">
        <f>AM5*(Assumptions!$B$29+Assumptions!$B$30)</f>
        <v/>
      </c>
      <c r="AN22" s="17">
        <f>AN5*(Assumptions!$B$29+Assumptions!$B$30)</f>
        <v/>
      </c>
      <c r="AO22" s="17">
        <f>AO5*(Assumptions!$B$29+Assumptions!$B$30)</f>
        <v/>
      </c>
      <c r="AP22" s="17">
        <f>AP5*(Assumptions!$B$29+Assumptions!$B$30)</f>
        <v/>
      </c>
      <c r="AQ22" s="17">
        <f>AQ5*(Assumptions!$B$29+Assumptions!$B$30)</f>
        <v/>
      </c>
      <c r="AR22" s="17">
        <f>AR5*(Assumptions!$B$29+Assumptions!$B$30)</f>
        <v/>
      </c>
      <c r="AS22" s="17">
        <f>AS5*(Assumptions!$B$29+Assumptions!$B$30)</f>
        <v/>
      </c>
      <c r="AT22" s="17">
        <f>AT5*(Assumptions!$B$29+Assumptions!$B$30)</f>
        <v/>
      </c>
      <c r="AU22" s="17">
        <f>AU5*(Assumptions!$B$29+Assumptions!$B$30)</f>
        <v/>
      </c>
      <c r="AV22" s="17">
        <f>AV5*(Assumptions!$B$29+Assumptions!$B$30)</f>
        <v/>
      </c>
      <c r="AW22" s="17">
        <f>AW5*(Assumptions!$B$29+Assumptions!$B$30)</f>
        <v/>
      </c>
      <c r="AX22" s="17">
        <f>AX5*(Assumptions!$B$29+Assumptions!$B$30)</f>
        <v/>
      </c>
      <c r="AY22" s="17">
        <f>AY5*(Assumptions!$B$29+Assumptions!$B$30)</f>
        <v/>
      </c>
      <c r="AZ22" s="17">
        <f>AZ5*(Assumptions!$B$29+Assumptions!$B$30)</f>
        <v/>
      </c>
      <c r="BA22" s="17">
        <f>BA5*(Assumptions!$B$29+Assumptions!$B$30)</f>
        <v/>
      </c>
      <c r="BB22" s="17">
        <f>BB5*(Assumptions!$B$29+Assumptions!$B$30)</f>
        <v/>
      </c>
      <c r="BC22" s="17">
        <f>BC5*(Assumptions!$B$29+Assumptions!$B$30)</f>
        <v/>
      </c>
      <c r="BD22" s="17">
        <f>BD5*(Assumptions!$B$29+Assumptions!$B$30)</f>
        <v/>
      </c>
      <c r="BE22" s="17">
        <f>BE5*(Assumptions!$B$29+Assumptions!$B$30)</f>
        <v/>
      </c>
      <c r="BF22" s="17">
        <f>BF5*(Assumptions!$B$29+Assumptions!$B$30)</f>
        <v/>
      </c>
      <c r="BG22" s="17">
        <f>BG5*(Assumptions!$B$29+Assumptions!$B$30)</f>
        <v/>
      </c>
      <c r="BH22" s="17">
        <f>BH5*(Assumptions!$B$29+Assumptions!$B$30)</f>
        <v/>
      </c>
      <c r="BI22" s="17">
        <f>BI5*(Assumptions!$B$29+Assumptions!$B$30)</f>
        <v/>
      </c>
      <c r="BJ22" s="17">
        <f>BJ5*(Assumptions!$B$29+Assumptions!$B$30)</f>
        <v/>
      </c>
      <c r="BK22" s="17">
        <f>BK5*(Assumptions!$B$29+Assumptions!$B$30)</f>
        <v/>
      </c>
      <c r="BL22" s="17">
        <f>BL5*(Assumptions!$B$29+Assumptions!$B$30)</f>
        <v/>
      </c>
      <c r="BM22" s="17">
        <f>BM5*(Assumptions!$B$29+Assumptions!$B$30)</f>
        <v/>
      </c>
      <c r="BN22" s="17">
        <f>BN5*(Assumptions!$B$29+Assumptions!$B$30)</f>
        <v/>
      </c>
      <c r="BO22" s="17">
        <f>BO5*(Assumptions!$B$29+Assumptions!$B$30)</f>
        <v/>
      </c>
      <c r="BP22" s="17">
        <f>BP5*(Assumptions!$B$29+Assumptions!$B$30)</f>
        <v/>
      </c>
      <c r="BQ22" s="17">
        <f>BQ5*(Assumptions!$B$29+Assumptions!$B$30)</f>
        <v/>
      </c>
      <c r="BR22" s="17">
        <f>BR5*(Assumptions!$B$29+Assumptions!$B$30)</f>
        <v/>
      </c>
      <c r="BS22" s="17">
        <f>BS5*(Assumptions!$B$29+Assumptions!$B$30)</f>
        <v/>
      </c>
      <c r="BT22" s="17">
        <f>BT5*(Assumptions!$B$29+Assumptions!$B$30)</f>
        <v/>
      </c>
      <c r="BU22" s="17">
        <f>BU5*(Assumptions!$B$29+Assumptions!$B$30)</f>
        <v/>
      </c>
      <c r="BV22" s="17">
        <f>BV5*(Assumptions!$B$29+Assumptions!$B$30)</f>
        <v/>
      </c>
      <c r="BW22" s="17">
        <f>BW5*(Assumptions!$B$29+Assumptions!$B$30)</f>
        <v/>
      </c>
    </row>
    <row r="23">
      <c r="A23" t="inlineStr">
        <is>
          <t>Merchant fees + chargebacks</t>
        </is>
      </c>
      <c r="D23" s="17">
        <f>D13*Assumptions!$B$27</f>
        <v/>
      </c>
      <c r="E23" s="17">
        <f>E13*Assumptions!$B$27</f>
        <v/>
      </c>
      <c r="F23" s="17">
        <f>F13*Assumptions!$B$27</f>
        <v/>
      </c>
      <c r="G23" s="17">
        <f>G13*Assumptions!$B$27</f>
        <v/>
      </c>
      <c r="H23" s="17">
        <f>H13*Assumptions!$B$27</f>
        <v/>
      </c>
      <c r="I23" s="17">
        <f>I13*Assumptions!$B$27</f>
        <v/>
      </c>
      <c r="J23" s="17">
        <f>J13*Assumptions!$B$27</f>
        <v/>
      </c>
      <c r="K23" s="17">
        <f>K13*Assumptions!$B$27</f>
        <v/>
      </c>
      <c r="L23" s="17">
        <f>L13*Assumptions!$B$27</f>
        <v/>
      </c>
      <c r="M23" s="17">
        <f>M13*Assumptions!$B$27</f>
        <v/>
      </c>
      <c r="N23" s="17">
        <f>N13*Assumptions!$B$27</f>
        <v/>
      </c>
      <c r="O23" s="17">
        <f>O13*Assumptions!$B$27</f>
        <v/>
      </c>
      <c r="P23" s="17">
        <f>P13*Assumptions!$B$27</f>
        <v/>
      </c>
      <c r="Q23" s="17">
        <f>Q13*Assumptions!$B$27</f>
        <v/>
      </c>
      <c r="R23" s="17">
        <f>R13*Assumptions!$B$27</f>
        <v/>
      </c>
      <c r="S23" s="17">
        <f>S13*Assumptions!$B$27</f>
        <v/>
      </c>
      <c r="T23" s="17">
        <f>T13*Assumptions!$B$27</f>
        <v/>
      </c>
      <c r="U23" s="17">
        <f>U13*Assumptions!$B$27</f>
        <v/>
      </c>
      <c r="V23" s="17">
        <f>V13*Assumptions!$B$27</f>
        <v/>
      </c>
      <c r="W23" s="17">
        <f>W13*Assumptions!$B$27</f>
        <v/>
      </c>
      <c r="X23" s="17">
        <f>X13*Assumptions!$B$27</f>
        <v/>
      </c>
      <c r="Y23" s="17">
        <f>Y13*Assumptions!$B$27</f>
        <v/>
      </c>
      <c r="Z23" s="17">
        <f>Z13*Assumptions!$B$27</f>
        <v/>
      </c>
      <c r="AA23" s="17">
        <f>AA13*Assumptions!$B$27</f>
        <v/>
      </c>
      <c r="AB23" s="17">
        <f>AB13*Assumptions!$B$27</f>
        <v/>
      </c>
      <c r="AC23" s="17">
        <f>AC13*Assumptions!$B$27</f>
        <v/>
      </c>
      <c r="AD23" s="17">
        <f>AD13*Assumptions!$B$27</f>
        <v/>
      </c>
      <c r="AE23" s="17">
        <f>AE13*Assumptions!$B$27</f>
        <v/>
      </c>
      <c r="AF23" s="17">
        <f>AF13*Assumptions!$B$27</f>
        <v/>
      </c>
      <c r="AG23" s="17">
        <f>AG13*Assumptions!$B$27</f>
        <v/>
      </c>
      <c r="AH23" s="17">
        <f>AH13*Assumptions!$B$27</f>
        <v/>
      </c>
      <c r="AI23" s="17">
        <f>AI13*Assumptions!$B$27</f>
        <v/>
      </c>
      <c r="AJ23" s="17">
        <f>AJ13*Assumptions!$B$27</f>
        <v/>
      </c>
      <c r="AK23" s="17">
        <f>AK13*Assumptions!$B$27</f>
        <v/>
      </c>
      <c r="AL23" s="17">
        <f>AL13*Assumptions!$B$27</f>
        <v/>
      </c>
      <c r="AM23" s="17">
        <f>AM13*Assumptions!$B$27</f>
        <v/>
      </c>
      <c r="AN23" s="17">
        <f>AN13*Assumptions!$B$27</f>
        <v/>
      </c>
      <c r="AO23" s="17">
        <f>AO13*Assumptions!$B$27</f>
        <v/>
      </c>
      <c r="AP23" s="17">
        <f>AP13*Assumptions!$B$27</f>
        <v/>
      </c>
      <c r="AQ23" s="17">
        <f>AQ13*Assumptions!$B$27</f>
        <v/>
      </c>
      <c r="AR23" s="17">
        <f>AR13*Assumptions!$B$27</f>
        <v/>
      </c>
      <c r="AS23" s="17">
        <f>AS13*Assumptions!$B$27</f>
        <v/>
      </c>
      <c r="AT23" s="17">
        <f>AT13*Assumptions!$B$27</f>
        <v/>
      </c>
      <c r="AU23" s="17">
        <f>AU13*Assumptions!$B$27</f>
        <v/>
      </c>
      <c r="AV23" s="17">
        <f>AV13*Assumptions!$B$27</f>
        <v/>
      </c>
      <c r="AW23" s="17">
        <f>AW13*Assumptions!$B$27</f>
        <v/>
      </c>
      <c r="AX23" s="17">
        <f>AX13*Assumptions!$B$27</f>
        <v/>
      </c>
      <c r="AY23" s="17">
        <f>AY13*Assumptions!$B$27</f>
        <v/>
      </c>
      <c r="AZ23" s="17">
        <f>AZ13*Assumptions!$B$27</f>
        <v/>
      </c>
      <c r="BA23" s="17">
        <f>BA13*Assumptions!$B$27</f>
        <v/>
      </c>
      <c r="BB23" s="17">
        <f>BB13*Assumptions!$B$27</f>
        <v/>
      </c>
      <c r="BC23" s="17">
        <f>BC13*Assumptions!$B$27</f>
        <v/>
      </c>
      <c r="BD23" s="17">
        <f>BD13*Assumptions!$B$27</f>
        <v/>
      </c>
      <c r="BE23" s="17">
        <f>BE13*Assumptions!$B$27</f>
        <v/>
      </c>
      <c r="BF23" s="17">
        <f>BF13*Assumptions!$B$27</f>
        <v/>
      </c>
      <c r="BG23" s="17">
        <f>BG13*Assumptions!$B$27</f>
        <v/>
      </c>
      <c r="BH23" s="17">
        <f>BH13*Assumptions!$B$27</f>
        <v/>
      </c>
      <c r="BI23" s="17">
        <f>BI13*Assumptions!$B$27</f>
        <v/>
      </c>
      <c r="BJ23" s="17">
        <f>BJ13*Assumptions!$B$27</f>
        <v/>
      </c>
      <c r="BK23" s="17">
        <f>BK13*Assumptions!$B$27</f>
        <v/>
      </c>
      <c r="BL23" s="17">
        <f>BL13*Assumptions!$B$27</f>
        <v/>
      </c>
      <c r="BM23" s="17">
        <f>BM13*Assumptions!$B$27</f>
        <v/>
      </c>
      <c r="BN23" s="17">
        <f>BN13*Assumptions!$B$27</f>
        <v/>
      </c>
      <c r="BO23" s="17">
        <f>BO13*Assumptions!$B$27</f>
        <v/>
      </c>
      <c r="BP23" s="17">
        <f>BP13*Assumptions!$B$27</f>
        <v/>
      </c>
      <c r="BQ23" s="17">
        <f>BQ13*Assumptions!$B$27</f>
        <v/>
      </c>
      <c r="BR23" s="17">
        <f>BR13*Assumptions!$B$27</f>
        <v/>
      </c>
      <c r="BS23" s="17">
        <f>BS13*Assumptions!$B$27</f>
        <v/>
      </c>
      <c r="BT23" s="17">
        <f>BT13*Assumptions!$B$27</f>
        <v/>
      </c>
      <c r="BU23" s="17">
        <f>BU13*Assumptions!$B$27</f>
        <v/>
      </c>
      <c r="BV23" s="17">
        <f>BV13*Assumptions!$B$27</f>
        <v/>
      </c>
      <c r="BW23" s="17">
        <f>BW13*Assumptions!$B$27</f>
        <v/>
      </c>
    </row>
    <row r="24">
      <c r="A24" s="1" t="inlineStr">
        <is>
          <t>Total COS</t>
        </is>
      </c>
      <c r="D24" s="28">
        <f>SUM(D18:D23)</f>
        <v/>
      </c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  <c r="J24" s="28">
        <f>SUM(J18:J23)</f>
        <v/>
      </c>
      <c r="K24" s="28">
        <f>SUM(K18:K23)</f>
        <v/>
      </c>
      <c r="L24" s="28">
        <f>SUM(L18:L23)</f>
        <v/>
      </c>
      <c r="M24" s="28">
        <f>SUM(M18:M23)</f>
        <v/>
      </c>
      <c r="N24" s="28">
        <f>SUM(N18:N23)</f>
        <v/>
      </c>
      <c r="O24" s="28">
        <f>SUM(O18:O23)</f>
        <v/>
      </c>
      <c r="P24" s="28">
        <f>SUM(P18:P23)</f>
        <v/>
      </c>
      <c r="Q24" s="28">
        <f>SUM(Q18:Q23)</f>
        <v/>
      </c>
      <c r="R24" s="28">
        <f>SUM(R18:R23)</f>
        <v/>
      </c>
      <c r="S24" s="28">
        <f>SUM(S18:S23)</f>
        <v/>
      </c>
      <c r="T24" s="28">
        <f>SUM(T18:T23)</f>
        <v/>
      </c>
      <c r="U24" s="28">
        <f>SUM(U18:U23)</f>
        <v/>
      </c>
      <c r="V24" s="28">
        <f>SUM(V18:V23)</f>
        <v/>
      </c>
      <c r="W24" s="28">
        <f>SUM(W18:W23)</f>
        <v/>
      </c>
      <c r="X24" s="28">
        <f>SUM(X18:X23)</f>
        <v/>
      </c>
      <c r="Y24" s="28">
        <f>SUM(Y18:Y23)</f>
        <v/>
      </c>
      <c r="Z24" s="28">
        <f>SUM(Z18:Z23)</f>
        <v/>
      </c>
      <c r="AA24" s="28">
        <f>SUM(AA18:AA23)</f>
        <v/>
      </c>
      <c r="AB24" s="28">
        <f>SUM(AB18:AB23)</f>
        <v/>
      </c>
      <c r="AC24" s="28">
        <f>SUM(AC18:AC23)</f>
        <v/>
      </c>
      <c r="AD24" s="28">
        <f>SUM(AD18:AD23)</f>
        <v/>
      </c>
      <c r="AE24" s="28">
        <f>SUM(AE18:AE23)</f>
        <v/>
      </c>
      <c r="AF24" s="28">
        <f>SUM(AF18:AF23)</f>
        <v/>
      </c>
      <c r="AG24" s="28">
        <f>SUM(AG18:AG23)</f>
        <v/>
      </c>
      <c r="AH24" s="28">
        <f>SUM(AH18:AH23)</f>
        <v/>
      </c>
      <c r="AI24" s="28">
        <f>SUM(AI18:AI23)</f>
        <v/>
      </c>
      <c r="AJ24" s="28">
        <f>SUM(AJ18:AJ23)</f>
        <v/>
      </c>
      <c r="AK24" s="28">
        <f>SUM(AK18:AK23)</f>
        <v/>
      </c>
      <c r="AL24" s="28">
        <f>SUM(AL18:AL23)</f>
        <v/>
      </c>
      <c r="AM24" s="28">
        <f>SUM(AM18:AM23)</f>
        <v/>
      </c>
      <c r="AN24" s="28">
        <f>SUM(AN18:AN23)</f>
        <v/>
      </c>
      <c r="AO24" s="28">
        <f>SUM(AO18:AO23)</f>
        <v/>
      </c>
      <c r="AP24" s="28">
        <f>SUM(AP18:AP23)</f>
        <v/>
      </c>
      <c r="AQ24" s="28">
        <f>SUM(AQ18:AQ23)</f>
        <v/>
      </c>
      <c r="AR24" s="28">
        <f>SUM(AR18:AR23)</f>
        <v/>
      </c>
      <c r="AS24" s="28">
        <f>SUM(AS18:AS23)</f>
        <v/>
      </c>
      <c r="AT24" s="28">
        <f>SUM(AT18:AT23)</f>
        <v/>
      </c>
      <c r="AU24" s="28">
        <f>SUM(AU18:AU23)</f>
        <v/>
      </c>
      <c r="AV24" s="28">
        <f>SUM(AV18:AV23)</f>
        <v/>
      </c>
      <c r="AW24" s="28">
        <f>SUM(AW18:AW23)</f>
        <v/>
      </c>
      <c r="AX24" s="28">
        <f>SUM(AX18:AX23)</f>
        <v/>
      </c>
      <c r="AY24" s="28">
        <f>SUM(AY18:AY23)</f>
        <v/>
      </c>
      <c r="AZ24" s="28">
        <f>SUM(AZ18:AZ23)</f>
        <v/>
      </c>
      <c r="BA24" s="28">
        <f>SUM(BA18:BA23)</f>
        <v/>
      </c>
      <c r="BB24" s="28">
        <f>SUM(BB18:BB23)</f>
        <v/>
      </c>
      <c r="BC24" s="28">
        <f>SUM(BC18:BC23)</f>
        <v/>
      </c>
      <c r="BD24" s="28">
        <f>SUM(BD18:BD23)</f>
        <v/>
      </c>
      <c r="BE24" s="28">
        <f>SUM(BE18:BE23)</f>
        <v/>
      </c>
      <c r="BF24" s="28">
        <f>SUM(BF18:BF23)</f>
        <v/>
      </c>
      <c r="BG24" s="28">
        <f>SUM(BG18:BG23)</f>
        <v/>
      </c>
      <c r="BH24" s="28">
        <f>SUM(BH18:BH23)</f>
        <v/>
      </c>
      <c r="BI24" s="28">
        <f>SUM(BI18:BI23)</f>
        <v/>
      </c>
      <c r="BJ24" s="28">
        <f>SUM(BJ18:BJ23)</f>
        <v/>
      </c>
      <c r="BK24" s="28">
        <f>SUM(BK18:BK23)</f>
        <v/>
      </c>
      <c r="BL24" s="28">
        <f>SUM(BL18:BL23)</f>
        <v/>
      </c>
      <c r="BM24" s="28">
        <f>SUM(BM18:BM23)</f>
        <v/>
      </c>
      <c r="BN24" s="28">
        <f>SUM(BN18:BN23)</f>
        <v/>
      </c>
      <c r="BO24" s="28">
        <f>SUM(BO18:BO23)</f>
        <v/>
      </c>
      <c r="BP24" s="28">
        <f>SUM(BP18:BP23)</f>
        <v/>
      </c>
      <c r="BQ24" s="28">
        <f>SUM(BQ18:BQ23)</f>
        <v/>
      </c>
      <c r="BR24" s="28">
        <f>SUM(BR18:BR23)</f>
        <v/>
      </c>
      <c r="BS24" s="28">
        <f>SUM(BS18:BS23)</f>
        <v/>
      </c>
      <c r="BT24" s="28">
        <f>SUM(BT18:BT23)</f>
        <v/>
      </c>
      <c r="BU24" s="28">
        <f>SUM(BU18:BU23)</f>
        <v/>
      </c>
      <c r="BV24" s="28">
        <f>SUM(BV18:BV23)</f>
        <v/>
      </c>
      <c r="BW24" s="28">
        <f>SUM(BW18:BW23)</f>
        <v/>
      </c>
    </row>
    <row r="26">
      <c r="A26" s="1" t="inlineStr">
        <is>
          <t>Gross profit</t>
        </is>
      </c>
      <c r="D26" s="101">
        <f>D15-D24</f>
        <v/>
      </c>
      <c r="E26" s="101">
        <f>E15-E24</f>
        <v/>
      </c>
      <c r="F26" s="101">
        <f>F15-F24</f>
        <v/>
      </c>
      <c r="G26" s="101">
        <f>G15-G24</f>
        <v/>
      </c>
      <c r="H26" s="101">
        <f>H15-H24</f>
        <v/>
      </c>
      <c r="I26" s="101">
        <f>I15-I24</f>
        <v/>
      </c>
      <c r="J26" s="101">
        <f>J15-J24</f>
        <v/>
      </c>
      <c r="K26" s="101">
        <f>K15-K24</f>
        <v/>
      </c>
      <c r="L26" s="101">
        <f>L15-L24</f>
        <v/>
      </c>
      <c r="M26" s="101">
        <f>M15-M24</f>
        <v/>
      </c>
      <c r="N26" s="101">
        <f>N15-N24</f>
        <v/>
      </c>
      <c r="O26" s="101">
        <f>O15-O24</f>
        <v/>
      </c>
      <c r="P26" s="101">
        <f>P15-P24</f>
        <v/>
      </c>
      <c r="Q26" s="101">
        <f>Q15-Q24</f>
        <v/>
      </c>
      <c r="R26" s="101">
        <f>R15-R24</f>
        <v/>
      </c>
      <c r="S26" s="101">
        <f>S15-S24</f>
        <v/>
      </c>
      <c r="T26" s="101">
        <f>T15-T24</f>
        <v/>
      </c>
      <c r="U26" s="101">
        <f>U15-U24</f>
        <v/>
      </c>
      <c r="V26" s="101">
        <f>V15-V24</f>
        <v/>
      </c>
      <c r="W26" s="101">
        <f>W15-W24</f>
        <v/>
      </c>
      <c r="X26" s="101">
        <f>X15-X24</f>
        <v/>
      </c>
      <c r="Y26" s="101">
        <f>Y15-Y24</f>
        <v/>
      </c>
      <c r="Z26" s="101">
        <f>Z15-Z24</f>
        <v/>
      </c>
      <c r="AA26" s="101">
        <f>AA15-AA24</f>
        <v/>
      </c>
      <c r="AB26" s="101">
        <f>AB15-AB24</f>
        <v/>
      </c>
      <c r="AC26" s="101">
        <f>AC15-AC24</f>
        <v/>
      </c>
      <c r="AD26" s="101">
        <f>AD15-AD24</f>
        <v/>
      </c>
      <c r="AE26" s="101">
        <f>AE15-AE24</f>
        <v/>
      </c>
      <c r="AF26" s="101">
        <f>AF15-AF24</f>
        <v/>
      </c>
      <c r="AG26" s="101">
        <f>AG15-AG24</f>
        <v/>
      </c>
      <c r="AH26" s="101">
        <f>AH15-AH24</f>
        <v/>
      </c>
      <c r="AI26" s="101">
        <f>AI15-AI24</f>
        <v/>
      </c>
      <c r="AJ26" s="101">
        <f>AJ15-AJ24</f>
        <v/>
      </c>
      <c r="AK26" s="101">
        <f>AK15-AK24</f>
        <v/>
      </c>
      <c r="AL26" s="101">
        <f>AL15-AL24</f>
        <v/>
      </c>
      <c r="AM26" s="101">
        <f>AM15-AM24</f>
        <v/>
      </c>
      <c r="AN26" s="101">
        <f>AN15-AN24</f>
        <v/>
      </c>
      <c r="AO26" s="101">
        <f>AO15-AO24</f>
        <v/>
      </c>
      <c r="AP26" s="101">
        <f>AP15-AP24</f>
        <v/>
      </c>
      <c r="AQ26" s="101">
        <f>AQ15-AQ24</f>
        <v/>
      </c>
      <c r="AR26" s="101">
        <f>AR15-AR24</f>
        <v/>
      </c>
      <c r="AS26" s="101">
        <f>AS15-AS24</f>
        <v/>
      </c>
      <c r="AT26" s="101">
        <f>AT15-AT24</f>
        <v/>
      </c>
      <c r="AU26" s="101">
        <f>AU15-AU24</f>
        <v/>
      </c>
      <c r="AV26" s="101">
        <f>AV15-AV24</f>
        <v/>
      </c>
      <c r="AW26" s="101">
        <f>AW15-AW24</f>
        <v/>
      </c>
      <c r="AX26" s="101">
        <f>AX15-AX24</f>
        <v/>
      </c>
      <c r="AY26" s="101">
        <f>AY15-AY24</f>
        <v/>
      </c>
      <c r="AZ26" s="101">
        <f>AZ15-AZ24</f>
        <v/>
      </c>
      <c r="BA26" s="101">
        <f>BA15-BA24</f>
        <v/>
      </c>
      <c r="BB26" s="101">
        <f>BB15-BB24</f>
        <v/>
      </c>
      <c r="BC26" s="101">
        <f>BC15-BC24</f>
        <v/>
      </c>
      <c r="BD26" s="101">
        <f>BD15-BD24</f>
        <v/>
      </c>
      <c r="BE26" s="101">
        <f>BE15-BE24</f>
        <v/>
      </c>
      <c r="BF26" s="101">
        <f>BF15-BF24</f>
        <v/>
      </c>
      <c r="BG26" s="101">
        <f>BG15-BG24</f>
        <v/>
      </c>
      <c r="BH26" s="101">
        <f>BH15-BH24</f>
        <v/>
      </c>
      <c r="BI26" s="101">
        <f>BI15-BI24</f>
        <v/>
      </c>
      <c r="BJ26" s="101">
        <f>BJ15-BJ24</f>
        <v/>
      </c>
      <c r="BK26" s="101">
        <f>BK15-BK24</f>
        <v/>
      </c>
      <c r="BL26" s="101">
        <f>BL15-BL24</f>
        <v/>
      </c>
      <c r="BM26" s="101">
        <f>BM15-BM24</f>
        <v/>
      </c>
      <c r="BN26" s="101">
        <f>BN15-BN24</f>
        <v/>
      </c>
      <c r="BO26" s="101">
        <f>BO15-BO24</f>
        <v/>
      </c>
      <c r="BP26" s="101">
        <f>BP15-BP24</f>
        <v/>
      </c>
      <c r="BQ26" s="101">
        <f>BQ15-BQ24</f>
        <v/>
      </c>
      <c r="BR26" s="101">
        <f>BR15-BR24</f>
        <v/>
      </c>
      <c r="BS26" s="101">
        <f>BS15-BS24</f>
        <v/>
      </c>
      <c r="BT26" s="101">
        <f>BT15-BT24</f>
        <v/>
      </c>
      <c r="BU26" s="101">
        <f>BU15-BU24</f>
        <v/>
      </c>
      <c r="BV26" s="101">
        <f>BV15-BV24</f>
        <v/>
      </c>
      <c r="BW26" s="101">
        <f>BW15-BW24</f>
        <v/>
      </c>
    </row>
    <row r="28">
      <c r="A28" s="97" t="inlineStr">
        <is>
          <t>ANNUAL ROLL-UP</t>
        </is>
      </c>
      <c r="BY28" s="1" t="inlineStr">
        <is>
          <t>2025A</t>
        </is>
      </c>
      <c r="BZ28" s="1" t="inlineStr">
        <is>
          <t>2026E</t>
        </is>
      </c>
      <c r="CA28" s="1" t="inlineStr">
        <is>
          <t>2027E</t>
        </is>
      </c>
      <c r="CB28" s="1" t="inlineStr">
        <is>
          <t>2028E</t>
        </is>
      </c>
      <c r="CC28" s="1" t="inlineStr">
        <is>
          <t>2029E</t>
        </is>
      </c>
      <c r="CD28" s="1" t="inlineStr">
        <is>
          <t>2030E</t>
        </is>
      </c>
    </row>
    <row r="29">
      <c r="A29" s="1" t="inlineStr">
        <is>
          <t>New contracts</t>
        </is>
      </c>
      <c r="BY29" s="102">
        <f>SUM(D5:O5)</f>
        <v/>
      </c>
      <c r="BZ29" s="102">
        <f>SUM(P5:AA5)</f>
        <v/>
      </c>
      <c r="CA29" s="102">
        <f>SUM(AB5:AM5)</f>
        <v/>
      </c>
      <c r="CB29" s="102">
        <f>SUM(AN5:AY5)</f>
        <v/>
      </c>
      <c r="CC29" s="102">
        <f>SUM(AZ5:BK5)</f>
        <v/>
      </c>
      <c r="CD29" s="102">
        <f>SUM(BL5:BW5)</f>
        <v/>
      </c>
    </row>
    <row r="30">
      <c r="A30" s="1" t="inlineStr">
        <is>
          <t>Active contracts (Dec)</t>
        </is>
      </c>
      <c r="BY30" s="102">
        <f>O6</f>
        <v/>
      </c>
      <c r="BZ30" s="102">
        <f>AA6</f>
        <v/>
      </c>
      <c r="CA30" s="102">
        <f>AM6</f>
        <v/>
      </c>
      <c r="CB30" s="102">
        <f>AY6</f>
        <v/>
      </c>
      <c r="CC30" s="102">
        <f>BK6</f>
        <v/>
      </c>
      <c r="CD30" s="102">
        <f>BW6</f>
        <v/>
      </c>
    </row>
    <row r="31">
      <c r="A31" s="1" t="inlineStr">
        <is>
          <t>Total revenue</t>
        </is>
      </c>
      <c r="BY31" s="103">
        <f>SUM(D15:O15)</f>
        <v/>
      </c>
      <c r="BZ31" s="103">
        <f>SUM(P15:AA15)</f>
        <v/>
      </c>
      <c r="CA31" s="103">
        <f>SUM(AB15:AM15)</f>
        <v/>
      </c>
      <c r="CB31" s="103">
        <f>SUM(AN15:AY15)</f>
        <v/>
      </c>
      <c r="CC31" s="103">
        <f>SUM(AZ15:BK15)</f>
        <v/>
      </c>
      <c r="CD31" s="103">
        <f>SUM(BL15:BW15)</f>
        <v/>
      </c>
    </row>
    <row r="32">
      <c r="A32" s="1" t="inlineStr">
        <is>
          <t>Total COS</t>
        </is>
      </c>
      <c r="BY32" s="103">
        <f>SUM(D24:O24)</f>
        <v/>
      </c>
      <c r="BZ32" s="103">
        <f>SUM(P24:AA24)</f>
        <v/>
      </c>
      <c r="CA32" s="103">
        <f>SUM(AB24:AM24)</f>
        <v/>
      </c>
      <c r="CB32" s="103">
        <f>SUM(AN24:AY24)</f>
        <v/>
      </c>
      <c r="CC32" s="103">
        <f>SUM(AZ24:BK24)</f>
        <v/>
      </c>
      <c r="CD32" s="103">
        <f>SUM(BL24:BW24)</f>
        <v/>
      </c>
    </row>
    <row r="33">
      <c r="A33" s="1" t="inlineStr">
        <is>
          <t>Gross profit</t>
        </is>
      </c>
      <c r="BY33" s="103">
        <f>SUM(D26:O26)</f>
        <v/>
      </c>
      <c r="BZ33" s="103">
        <f>SUM(P26:AA26)</f>
        <v/>
      </c>
      <c r="CA33" s="103">
        <f>SUM(AB26:AM26)</f>
        <v/>
      </c>
      <c r="CB33" s="103">
        <f>SUM(AN26:AY26)</f>
        <v/>
      </c>
      <c r="CC33" s="103">
        <f>SUM(AZ26:BK26)</f>
        <v/>
      </c>
      <c r="CD33" s="103">
        <f>SUM(BL26:BW26)</f>
        <v/>
      </c>
    </row>
  </sheetData>
  <mergeCells count="4">
    <mergeCell ref="A28:H28"/>
    <mergeCell ref="A10:H10"/>
    <mergeCell ref="A17:H17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/>
  </sheetPr>
  <dimension ref="A1:CD3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8" customWidth="1" style="50" min="1" max="1"/>
    <col width="3" customWidth="1" style="50" min="2" max="2"/>
    <col width="10" customWidth="1" style="50" min="3" max="3"/>
    <col width="11" customWidth="1" style="50" min="4" max="75"/>
    <col width="13" customWidth="1" style="50" min="77" max="82"/>
  </cols>
  <sheetData>
    <row r="1" ht="24" customHeight="1" s="50">
      <c r="A1" s="95" t="inlineStr">
        <is>
          <t>ASD Channel VSC — Engine (Vintage Cohort Survival)</t>
        </is>
      </c>
    </row>
    <row r="2">
      <c r="A2" s="5" t="inlineStr">
        <is>
          <t>Monthly originations × shared cancel curve. CPS (customer payment per service) = $100.0/mo.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New contracts originated</t>
        </is>
      </c>
      <c r="D5" s="15" t="n">
        <v>3668</v>
      </c>
      <c r="E5" s="15" t="n">
        <v>2896</v>
      </c>
      <c r="F5" s="15" t="n">
        <v>3414</v>
      </c>
      <c r="G5" s="15" t="n">
        <v>2731</v>
      </c>
      <c r="H5" s="15" t="n">
        <v>2831</v>
      </c>
      <c r="I5" s="15" t="n">
        <v>2931</v>
      </c>
      <c r="J5" s="15" t="n">
        <v>3031</v>
      </c>
      <c r="K5" s="15" t="n">
        <v>5000</v>
      </c>
      <c r="L5" s="15" t="n">
        <v>5100</v>
      </c>
      <c r="M5" s="15" t="n">
        <v>5100</v>
      </c>
      <c r="N5" s="15" t="n">
        <v>5200</v>
      </c>
      <c r="O5" s="15" t="n">
        <v>4800</v>
      </c>
      <c r="P5" s="15" t="n">
        <v>4900</v>
      </c>
      <c r="Q5" s="15" t="n">
        <v>5000</v>
      </c>
      <c r="R5" s="15" t="n">
        <v>5100</v>
      </c>
      <c r="S5" s="15" t="n">
        <v>5200</v>
      </c>
      <c r="T5" s="15" t="n">
        <v>5300</v>
      </c>
      <c r="U5" s="15" t="n">
        <v>5400</v>
      </c>
      <c r="V5" s="15" t="n">
        <v>5500</v>
      </c>
      <c r="W5" s="15" t="n">
        <v>5600</v>
      </c>
      <c r="X5" s="15" t="n">
        <v>5700</v>
      </c>
      <c r="Y5" s="15" t="n">
        <v>5800</v>
      </c>
      <c r="Z5" s="15" t="n">
        <v>5900</v>
      </c>
      <c r="AA5" s="15" t="n">
        <v>6000</v>
      </c>
      <c r="AB5" s="15" t="n">
        <v>6100</v>
      </c>
      <c r="AC5" s="15" t="n">
        <v>6200</v>
      </c>
      <c r="AD5" s="15" t="n">
        <v>6300</v>
      </c>
      <c r="AE5" s="15" t="n">
        <v>6400</v>
      </c>
      <c r="AF5" s="15" t="n">
        <v>6500</v>
      </c>
      <c r="AG5" s="15" t="n">
        <v>6600</v>
      </c>
      <c r="AH5" s="15" t="n">
        <v>6700</v>
      </c>
      <c r="AI5" s="15" t="n">
        <v>6800</v>
      </c>
      <c r="AJ5" s="15" t="n">
        <v>6900</v>
      </c>
      <c r="AK5" s="15" t="n">
        <v>7000</v>
      </c>
      <c r="AL5" s="15" t="n">
        <v>7100</v>
      </c>
      <c r="AM5" s="15" t="n">
        <v>7200</v>
      </c>
      <c r="AN5" s="15" t="n">
        <v>7300</v>
      </c>
      <c r="AO5" s="15" t="n">
        <v>7400</v>
      </c>
      <c r="AP5" s="15" t="n">
        <v>7500</v>
      </c>
      <c r="AQ5" s="15" t="n">
        <v>7600</v>
      </c>
      <c r="AR5" s="15" t="n">
        <v>7700</v>
      </c>
      <c r="AS5" s="15" t="n">
        <v>7800</v>
      </c>
      <c r="AT5" s="15" t="n">
        <v>7900</v>
      </c>
      <c r="AU5" s="15" t="n">
        <v>8000</v>
      </c>
      <c r="AV5" s="15" t="n">
        <v>8100</v>
      </c>
      <c r="AW5" s="15" t="n">
        <v>8200</v>
      </c>
      <c r="AX5" s="15" t="n">
        <v>8300</v>
      </c>
      <c r="AY5" s="15" t="n">
        <v>8400</v>
      </c>
      <c r="AZ5" s="15" t="n">
        <v>8500</v>
      </c>
      <c r="BA5" s="15" t="n">
        <v>8600</v>
      </c>
      <c r="BB5" s="15" t="n">
        <v>8700</v>
      </c>
      <c r="BC5" s="15" t="n">
        <v>8800</v>
      </c>
      <c r="BD5" s="15" t="n">
        <v>8900</v>
      </c>
      <c r="BE5" s="15" t="n">
        <v>9000</v>
      </c>
      <c r="BF5" s="15" t="n">
        <v>9100</v>
      </c>
      <c r="BG5" s="15" t="n">
        <v>9200</v>
      </c>
      <c r="BH5" s="15" t="n">
        <v>9300</v>
      </c>
      <c r="BI5" s="15" t="n">
        <v>9400</v>
      </c>
      <c r="BJ5" s="15" t="n">
        <v>9500</v>
      </c>
      <c r="BK5" s="15" t="n">
        <v>9600</v>
      </c>
      <c r="BL5" s="15" t="n">
        <v>9700</v>
      </c>
      <c r="BM5" s="15" t="n">
        <v>9800</v>
      </c>
      <c r="BN5" s="15" t="n">
        <v>9900</v>
      </c>
      <c r="BO5" s="15" t="n">
        <v>10000</v>
      </c>
      <c r="BP5" s="15" t="n">
        <v>10100</v>
      </c>
      <c r="BQ5" s="15" t="n">
        <v>10200</v>
      </c>
      <c r="BR5" s="15" t="n">
        <v>10300</v>
      </c>
      <c r="BS5" s="15" t="n">
        <v>10400</v>
      </c>
      <c r="BT5" s="15" t="n">
        <v>10500</v>
      </c>
      <c r="BU5" s="15" t="n">
        <v>10600</v>
      </c>
      <c r="BV5" s="15" t="n">
        <v>10700</v>
      </c>
      <c r="BW5" s="15" t="n">
        <v>10800</v>
      </c>
    </row>
    <row r="6">
      <c r="A6" s="1" t="inlineStr">
        <is>
          <t>Active contracts (vintage-weighted)</t>
        </is>
      </c>
      <c r="C6" s="26">
        <f>C7</f>
        <v/>
      </c>
      <c r="D6" s="26">
        <f>$D5*'Cancel Curves'!$B$12 + 12739.4285</f>
        <v/>
      </c>
      <c r="E6" s="26">
        <f>$D5*'Cancel Curves'!$C$12 + $E5*'Cancel Curves'!$B$12 + 12012.1763</f>
        <v/>
      </c>
      <c r="F6" s="26">
        <f>$D5*'Cancel Curves'!$D$12 + $E5*'Cancel Curves'!$C$12 + $F5*'Cancel Curves'!$B$12 + 11428.8419</f>
        <v/>
      </c>
      <c r="G6" s="26">
        <f>$D5*'Cancel Curves'!$E$12 + $E5*'Cancel Curves'!$D$12 + $F5*'Cancel Curves'!$C$12 + $G5*'Cancel Curves'!$B$12 + 10940.1364</f>
        <v/>
      </c>
      <c r="H6" s="26">
        <f>$D5*'Cancel Curves'!$F$12 + $E5*'Cancel Curves'!$E$12 + $F5*'Cancel Curves'!$D$12 + $G5*'Cancel Curves'!$C$12 + $H5*'Cancel Curves'!$B$12 + 10514.6037</f>
        <v/>
      </c>
      <c r="I6" s="26">
        <f>$D5*'Cancel Curves'!$G$12 + $E5*'Cancel Curves'!$F$12 + $F5*'Cancel Curves'!$E$12 + $G5*'Cancel Curves'!$D$12 + $H5*'Cancel Curves'!$C$12 + $I5*'Cancel Curves'!$B$12 + 10141.9899</f>
        <v/>
      </c>
      <c r="J6" s="26">
        <f>$D5*'Cancel Curves'!$H$12 + $E5*'Cancel Curves'!$G$12 + $F5*'Cancel Curves'!$F$12 + $G5*'Cancel Curves'!$E$12 + $H5*'Cancel Curves'!$D$12 + $I5*'Cancel Curves'!$C$12 + $J5*'Cancel Curves'!$B$12 + 9817.0405</f>
        <v/>
      </c>
      <c r="K6" s="26">
        <f>$D5*'Cancel Curves'!$I$12 + $E5*'Cancel Curves'!$H$12 + $F5*'Cancel Curves'!$G$12 + $G5*'Cancel Curves'!$F$12 + $H5*'Cancel Curves'!$E$12 + $I5*'Cancel Curves'!$D$12 + $J5*'Cancel Curves'!$C$12 + $K5*'Cancel Curves'!$B$12 + 9544.8502</f>
        <v/>
      </c>
      <c r="L6" s="26">
        <f>$D5*'Cancel Curves'!$J$12 + $E5*'Cancel Curves'!$I$12 + $F5*'Cancel Curves'!$H$12 + $G5*'Cancel Curves'!$G$12 + $H5*'Cancel Curves'!$F$12 + $I5*'Cancel Curves'!$E$12 + $J5*'Cancel Curves'!$D$12 + $K5*'Cancel Curves'!$C$12 + $L5*'Cancel Curves'!$B$12 + 9314.3362</f>
        <v/>
      </c>
      <c r="M6" s="26">
        <f>$D5*'Cancel Curves'!$K$12 + $E5*'Cancel Curves'!$J$12 + $F5*'Cancel Curves'!$I$12 + $G5*'Cancel Curves'!$H$12 + $H5*'Cancel Curves'!$G$12 + $I5*'Cancel Curves'!$F$12 + $J5*'Cancel Curves'!$E$12 + $K5*'Cancel Curves'!$D$12 + $L5*'Cancel Curves'!$C$12 + $M5*'Cancel Curves'!$B$12 + 9123.0987</f>
        <v/>
      </c>
      <c r="N6" s="26">
        <f>$D5*'Cancel Curves'!$L$12 + $E5*'Cancel Curves'!$K$12 + $F5*'Cancel Curves'!$J$12 + $G5*'Cancel Curves'!$I$12 + $H5*'Cancel Curves'!$H$12 + $I5*'Cancel Curves'!$G$12 + $J5*'Cancel Curves'!$F$12 + $K5*'Cancel Curves'!$E$12 + $L5*'Cancel Curves'!$D$12 + $M5*'Cancel Curves'!$C$12 + $N5*'Cancel Curves'!$B$12 + 8965.9846</f>
        <v/>
      </c>
      <c r="O6" s="26">
        <f>$D5*'Cancel Curves'!$M$12 + $E5*'Cancel Curves'!$L$12 + $F5*'Cancel Curves'!$K$12 + $G5*'Cancel Curves'!$J$12 + $H5*'Cancel Curves'!$I$12 + $I5*'Cancel Curves'!$H$12 + $J5*'Cancel Curves'!$G$12 + $K5*'Cancel Curves'!$F$12 + $L5*'Cancel Curves'!$E$12 + $M5*'Cancel Curves'!$D$12 + $N5*'Cancel Curves'!$C$12 + $O5*'Cancel Curves'!$B$12 + 8835.6899</f>
        <v/>
      </c>
      <c r="P6" s="26">
        <f>$D5*'Cancel Curves'!$N$12 + $E5*'Cancel Curves'!$M$12 + $F5*'Cancel Curves'!$L$12 + $G5*'Cancel Curves'!$K$12 + $H5*'Cancel Curves'!$J$12 + $I5*'Cancel Curves'!$I$12 + $J5*'Cancel Curves'!$H$12 + $K5*'Cancel Curves'!$G$12 + $L5*'Cancel Curves'!$F$12 + $M5*'Cancel Curves'!$E$12 + $N5*'Cancel Curves'!$D$12 + $O5*'Cancel Curves'!$C$12 + $P5*'Cancel Curves'!$B$12 + 8377.0854</f>
        <v/>
      </c>
      <c r="Q6" s="26">
        <f>$D5*'Cancel Curves'!$O$12 + $E5*'Cancel Curves'!$N$12 + $F5*'Cancel Curves'!$M$12 + $G5*'Cancel Curves'!$L$12 + $H5*'Cancel Curves'!$K$12 + $I5*'Cancel Curves'!$J$12 + $J5*'Cancel Curves'!$I$12 + $K5*'Cancel Curves'!$H$12 + $L5*'Cancel Curves'!$G$12 + $M5*'Cancel Curves'!$F$12 + $N5*'Cancel Curves'!$E$12 + $O5*'Cancel Curves'!$D$12 + $P5*'Cancel Curves'!$C$12 + $Q5*'Cancel Curves'!$B$12 + 7437.9559</f>
        <v/>
      </c>
      <c r="R6" s="26">
        <f>$D5*'Cancel Curves'!$P$12 + $E5*'Cancel Curves'!$O$12 + $F5*'Cancel Curves'!$N$12 + $G5*'Cancel Curves'!$M$12 + $H5*'Cancel Curves'!$L$12 + $I5*'Cancel Curves'!$K$12 + $J5*'Cancel Curves'!$J$12 + $K5*'Cancel Curves'!$I$12 + $L5*'Cancel Curves'!$H$12 + $M5*'Cancel Curves'!$G$12 + $N5*'Cancel Curves'!$F$12 + $O5*'Cancel Curves'!$E$12 + $P5*'Cancel Curves'!$D$12 + $Q5*'Cancel Curves'!$C$12 + $R5*'Cancel Curves'!$B$12 + 6636.0397</f>
        <v/>
      </c>
      <c r="S6" s="26">
        <f>$D5*'Cancel Curves'!$Q$12 + $E5*'Cancel Curves'!$P$12 + $F5*'Cancel Curves'!$O$12 + $G5*'Cancel Curves'!$N$12 + $H5*'Cancel Curves'!$M$12 + $I5*'Cancel Curves'!$L$12 + $J5*'Cancel Curves'!$K$12 + $K5*'Cancel Curves'!$J$12 + $L5*'Cancel Curves'!$I$12 + $M5*'Cancel Curves'!$H$12 + $N5*'Cancel Curves'!$G$12 + $O5*'Cancel Curves'!$F$12 + $P5*'Cancel Curves'!$E$12 + $Q5*'Cancel Curves'!$D$12 + $R5*'Cancel Curves'!$C$12 + $S5*'Cancel Curves'!$B$12 + 5794.8677</f>
        <v/>
      </c>
      <c r="T6" s="26">
        <f>$D5*'Cancel Curves'!$R$12 + $E5*'Cancel Curves'!$Q$12 + $F5*'Cancel Curves'!$P$12 + $G5*'Cancel Curves'!$O$12 + $H5*'Cancel Curves'!$N$12 + $I5*'Cancel Curves'!$M$12 + $J5*'Cancel Curves'!$L$12 + $K5*'Cancel Curves'!$K$12 + $L5*'Cancel Curves'!$J$12 + $M5*'Cancel Curves'!$I$12 + $N5*'Cancel Curves'!$H$12 + $O5*'Cancel Curves'!$G$12 + $P5*'Cancel Curves'!$F$12 + $Q5*'Cancel Curves'!$E$12 + $R5*'Cancel Curves'!$D$12 + $S5*'Cancel Curves'!$C$12 + $T5*'Cancel Curves'!$B$12 + 5211.6177</f>
        <v/>
      </c>
      <c r="U6" s="26">
        <f>$D5*'Cancel Curves'!$S$12 + $E5*'Cancel Curves'!$R$12 + $F5*'Cancel Curves'!$Q$12 + $G5*'Cancel Curves'!$P$12 + $H5*'Cancel Curves'!$O$12 + $I5*'Cancel Curves'!$N$12 + $J5*'Cancel Curves'!$M$12 + $K5*'Cancel Curves'!$L$12 + $L5*'Cancel Curves'!$K$12 + $M5*'Cancel Curves'!$J$12 + $N5*'Cancel Curves'!$I$12 + $O5*'Cancel Curves'!$H$12 + $P5*'Cancel Curves'!$G$12 + $Q5*'Cancel Curves'!$F$12 + $R5*'Cancel Curves'!$E$12 + $S5*'Cancel Curves'!$D$12 + $T5*'Cancel Curves'!$C$12 + $U5*'Cancel Curves'!$B$12 + 4623.3973</f>
        <v/>
      </c>
      <c r="V6" s="26">
        <f>$D5*'Cancel Curves'!$T$12 + $E5*'Cancel Curves'!$S$12 + $F5*'Cancel Curves'!$R$12 + $G5*'Cancel Curves'!$Q$12 + $H5*'Cancel Curves'!$P$12 + $I5*'Cancel Curves'!$O$12 + $J5*'Cancel Curves'!$N$12 + $K5*'Cancel Curves'!$M$12 + $L5*'Cancel Curves'!$L$12 + $M5*'Cancel Curves'!$K$12 + $N5*'Cancel Curves'!$J$12 + $O5*'Cancel Curves'!$I$12 + $P5*'Cancel Curves'!$H$12 + $Q5*'Cancel Curves'!$G$12 + $R5*'Cancel Curves'!$F$12 + $S5*'Cancel Curves'!$E$12 + $T5*'Cancel Curves'!$D$12 + $U5*'Cancel Curves'!$C$12 + $V5*'Cancel Curves'!$B$12 + 3982.1468</f>
        <v/>
      </c>
      <c r="W6" s="26">
        <f>$D5*'Cancel Curves'!$U$12 + $E5*'Cancel Curves'!$T$12 + $F5*'Cancel Curves'!$S$12 + $G5*'Cancel Curves'!$R$12 + $H5*'Cancel Curves'!$Q$12 + $I5*'Cancel Curves'!$P$12 + $J5*'Cancel Curves'!$O$12 + $K5*'Cancel Curves'!$N$12 + $L5*'Cancel Curves'!$M$12 + $M5*'Cancel Curves'!$L$12 + $N5*'Cancel Curves'!$K$12 + $O5*'Cancel Curves'!$J$12 + $P5*'Cancel Curves'!$I$12 + $Q5*'Cancel Curves'!$H$12 + $R5*'Cancel Curves'!$G$12 + $S5*'Cancel Curves'!$F$12 + $T5*'Cancel Curves'!$E$12 + $U5*'Cancel Curves'!$D$12 + $V5*'Cancel Curves'!$C$12 + $W5*'Cancel Curves'!$B$12 + 3266.8046</f>
        <v/>
      </c>
      <c r="X6" s="26">
        <f>$D5*'Cancel Curves'!$V$12 + $E5*'Cancel Curves'!$U$12 + $F5*'Cancel Curves'!$T$12 + $G5*'Cancel Curves'!$S$12 + $H5*'Cancel Curves'!$R$12 + $I5*'Cancel Curves'!$Q$12 + $J5*'Cancel Curves'!$P$12 + $K5*'Cancel Curves'!$O$12 + $L5*'Cancel Curves'!$N$12 + $M5*'Cancel Curves'!$M$12 + $N5*'Cancel Curves'!$L$12 + $O5*'Cancel Curves'!$K$12 + $P5*'Cancel Curves'!$J$12 + $Q5*'Cancel Curves'!$I$12 + $R5*'Cancel Curves'!$H$12 + $S5*'Cancel Curves'!$G$12 + $T5*'Cancel Curves'!$F$12 + $U5*'Cancel Curves'!$E$12 + $V5*'Cancel Curves'!$D$12 + $W5*'Cancel Curves'!$C$12 + $X5*'Cancel Curves'!$B$12 + 2495.0474</f>
        <v/>
      </c>
      <c r="Y6" s="26">
        <f>$D5*'Cancel Curves'!$W$12 + $E5*'Cancel Curves'!$V$12 + $F5*'Cancel Curves'!$U$12 + $G5*'Cancel Curves'!$T$12 + $H5*'Cancel Curves'!$S$12 + $I5*'Cancel Curves'!$R$12 + $J5*'Cancel Curves'!$Q$12 + $K5*'Cancel Curves'!$P$12 + $L5*'Cancel Curves'!$O$12 + $M5*'Cancel Curves'!$N$12 + $N5*'Cancel Curves'!$M$12 + $O5*'Cancel Curves'!$L$12 + $P5*'Cancel Curves'!$K$12 + $Q5*'Cancel Curves'!$J$12 + $R5*'Cancel Curves'!$I$12 + $S5*'Cancel Curves'!$H$12 + $T5*'Cancel Curves'!$G$12 + $U5*'Cancel Curves'!$F$12 + $V5*'Cancel Curves'!$E$12 + $W5*'Cancel Curves'!$D$12 + $X5*'Cancel Curves'!$C$12 + $Y5*'Cancel Curves'!$B$12 + 1606.6992</f>
        <v/>
      </c>
      <c r="Z6" s="26">
        <f>$D5*'Cancel Curves'!$X$12 + $E5*'Cancel Curves'!$W$12 + $F5*'Cancel Curves'!$V$12 + $G5*'Cancel Curves'!$U$12 + $H5*'Cancel Curves'!$T$12 + $I5*'Cancel Curves'!$S$12 + $J5*'Cancel Curves'!$R$12 + $K5*'Cancel Curves'!$Q$12 + $L5*'Cancel Curves'!$P$12 + $M5*'Cancel Curves'!$O$12 + $N5*'Cancel Curves'!$N$12 + $O5*'Cancel Curves'!$M$12 + $P5*'Cancel Curves'!$L$12 + $Q5*'Cancel Curves'!$K$12 + $R5*'Cancel Curves'!$J$12 + $S5*'Cancel Curves'!$I$12 + $T5*'Cancel Curves'!$H$12 + $U5*'Cancel Curves'!$G$12 + $V5*'Cancel Curves'!$F$12 + $W5*'Cancel Curves'!$E$12 + $X5*'Cancel Curves'!$D$12 + $Y5*'Cancel Curves'!$C$12 + $Z5*'Cancel Curves'!$B$12 + 783.4163</f>
        <v/>
      </c>
      <c r="AA6" s="26">
        <f>$D5*'Cancel Curves'!$Y$12 + $E5*'Cancel Curves'!$X$12 + $F5*'Cancel Curves'!$W$12 + $G5*'Cancel Curves'!$V$12 + $H5*'Cancel Curves'!$U$12 + $I5*'Cancel Curves'!$T$12 + $J5*'Cancel Curves'!$S$12 + $K5*'Cancel Curves'!$R$12 + $L5*'Cancel Curves'!$Q$12 + $M5*'Cancel Curves'!$P$12 + $N5*'Cancel Curves'!$O$12 + $O5*'Cancel Curves'!$N$12 + $P5*'Cancel Curves'!$M$12 + $Q5*'Cancel Curves'!$L$12 + $R5*'Cancel Curves'!$K$12 + $S5*'Cancel Curves'!$J$12 + $T5*'Cancel Curves'!$I$12 + $U5*'Cancel Curves'!$H$12 + $V5*'Cancel Curves'!$G$12 + $W5*'Cancel Curves'!$F$12 + $X5*'Cancel Curves'!$E$12 + $Y5*'Cancel Curves'!$D$12 + $Z5*'Cancel Curves'!$C$12 + $AA5*'Cancel Curves'!$B$12</f>
        <v/>
      </c>
      <c r="AB6" s="26">
        <f>$D5*'Cancel Curves'!$Z$12 + $E5*'Cancel Curves'!$Y$12 + $F5*'Cancel Curves'!$X$12 + $G5*'Cancel Curves'!$W$12 + $H5*'Cancel Curves'!$V$12 + $I5*'Cancel Curves'!$U$12 + $J5*'Cancel Curves'!$T$12 + $K5*'Cancel Curves'!$S$12 + $L5*'Cancel Curves'!$R$12 + $M5*'Cancel Curves'!$Q$12 + $N5*'Cancel Curves'!$P$12 + $O5*'Cancel Curves'!$O$12 + $P5*'Cancel Curves'!$N$12 + $Q5*'Cancel Curves'!$M$12 + $R5*'Cancel Curves'!$L$12 + $S5*'Cancel Curves'!$K$12 + $T5*'Cancel Curves'!$J$12 + $U5*'Cancel Curves'!$I$12 + $V5*'Cancel Curves'!$H$12 + $W5*'Cancel Curves'!$G$12 + $X5*'Cancel Curves'!$F$12 + $Y5*'Cancel Curves'!$E$12 + $Z5*'Cancel Curves'!$D$12 + $AA5*'Cancel Curves'!$C$12 + $AB5*'Cancel Curves'!$B$12</f>
        <v/>
      </c>
      <c r="AC6" s="26">
        <f>$D5*'Cancel Curves'!$AA$12 + $E5*'Cancel Curves'!$Z$12 + $F5*'Cancel Curves'!$Y$12 + $G5*'Cancel Curves'!$X$12 + $H5*'Cancel Curves'!$W$12 + $I5*'Cancel Curves'!$V$12 + $J5*'Cancel Curves'!$U$12 + $K5*'Cancel Curves'!$T$12 + $L5*'Cancel Curves'!$S$12 + $M5*'Cancel Curves'!$R$12 + $N5*'Cancel Curves'!$Q$12 + $O5*'Cancel Curves'!$P$12 + $P5*'Cancel Curves'!$O$12 + $Q5*'Cancel Curves'!$N$12 + $R5*'Cancel Curves'!$M$12 + $S5*'Cancel Curves'!$L$12 + $T5*'Cancel Curves'!$K$12 + $U5*'Cancel Curves'!$J$12 + $V5*'Cancel Curves'!$I$12 + $W5*'Cancel Curves'!$H$12 + $X5*'Cancel Curves'!$G$12 + $Y5*'Cancel Curves'!$F$12 + $Z5*'Cancel Curves'!$E$12 + $AA5*'Cancel Curves'!$D$12 + $AB5*'Cancel Curves'!$C$12 + $AC5*'Cancel Curves'!$B$12</f>
        <v/>
      </c>
      <c r="AD6" s="26">
        <f>$D5*'Cancel Curves'!$AB$12 + $E5*'Cancel Curves'!$AA$12 + $F5*'Cancel Curves'!$Z$12 + $G5*'Cancel Curves'!$Y$12 + $H5*'Cancel Curves'!$X$12 + $I5*'Cancel Curves'!$W$12 + $J5*'Cancel Curves'!$V$12 + $K5*'Cancel Curves'!$U$12 + $L5*'Cancel Curves'!$T$12 + $M5*'Cancel Curves'!$S$12 + $N5*'Cancel Curves'!$R$12 + $O5*'Cancel Curves'!$Q$12 + $P5*'Cancel Curves'!$P$12 + $Q5*'Cancel Curves'!$O$12 + $R5*'Cancel Curves'!$N$12 + $S5*'Cancel Curves'!$M$12 + $T5*'Cancel Curves'!$L$12 + $U5*'Cancel Curves'!$K$12 + $V5*'Cancel Curves'!$J$12 + $W5*'Cancel Curves'!$I$12 + $X5*'Cancel Curves'!$H$12 + $Y5*'Cancel Curves'!$G$12 + $Z5*'Cancel Curves'!$F$12 + $AA5*'Cancel Curves'!$E$12 + $AB5*'Cancel Curves'!$D$12 + $AC5*'Cancel Curves'!$C$12 + $AD5*'Cancel Curves'!$B$12</f>
        <v/>
      </c>
      <c r="AE6" s="26">
        <f>$D5*'Cancel Curves'!$AC$12 + $E5*'Cancel Curves'!$AB$12 + $F5*'Cancel Curves'!$AA$12 + $G5*'Cancel Curves'!$Z$12 + $H5*'Cancel Curves'!$Y$12 + $I5*'Cancel Curves'!$X$12 + $J5*'Cancel Curves'!$W$12 + $K5*'Cancel Curves'!$V$12 + $L5*'Cancel Curves'!$U$12 + $M5*'Cancel Curves'!$T$12 + $N5*'Cancel Curves'!$S$12 + $O5*'Cancel Curves'!$R$12 + $P5*'Cancel Curves'!$Q$12 + $Q5*'Cancel Curves'!$P$12 + $R5*'Cancel Curves'!$O$12 + $S5*'Cancel Curves'!$N$12 + $T5*'Cancel Curves'!$M$12 + $U5*'Cancel Curves'!$L$12 + $V5*'Cancel Curves'!$K$12 + $W5*'Cancel Curves'!$J$12 + $X5*'Cancel Curves'!$I$12 + $Y5*'Cancel Curves'!$H$12 + $Z5*'Cancel Curves'!$G$12 + $AA5*'Cancel Curves'!$F$12 + $AB5*'Cancel Curves'!$E$12 + $AC5*'Cancel Curves'!$D$12 + $AD5*'Cancel Curves'!$C$12 + $AE5*'Cancel Curves'!$B$12</f>
        <v/>
      </c>
      <c r="AF6" s="26">
        <f>$D5*'Cancel Curves'!$AD$12 + $E5*'Cancel Curves'!$AC$12 + $F5*'Cancel Curves'!$AB$12 + $G5*'Cancel Curves'!$AA$12 + $H5*'Cancel Curves'!$Z$12 + $I5*'Cancel Curves'!$Y$12 + $J5*'Cancel Curves'!$X$12 + $K5*'Cancel Curves'!$W$12 + $L5*'Cancel Curves'!$V$12 + $M5*'Cancel Curves'!$U$12 + $N5*'Cancel Curves'!$T$12 + $O5*'Cancel Curves'!$S$12 + $P5*'Cancel Curves'!$R$12 + $Q5*'Cancel Curves'!$Q$12 + $R5*'Cancel Curves'!$P$12 + $S5*'Cancel Curves'!$O$12 + $T5*'Cancel Curves'!$N$12 + $U5*'Cancel Curves'!$M$12 + $V5*'Cancel Curves'!$L$12 + $W5*'Cancel Curves'!$K$12 + $X5*'Cancel Curves'!$J$12 + $Y5*'Cancel Curves'!$I$12 + $Z5*'Cancel Curves'!$H$12 + $AA5*'Cancel Curves'!$G$12 + $AB5*'Cancel Curves'!$F$12 + $AC5*'Cancel Curves'!$E$12 + $AD5*'Cancel Curves'!$D$12 + $AE5*'Cancel Curves'!$C$12 + $AF5*'Cancel Curves'!$B$12</f>
        <v/>
      </c>
      <c r="AG6" s="26">
        <f>$D5*'Cancel Curves'!$AE$12 + $E5*'Cancel Curves'!$AD$12 + $F5*'Cancel Curves'!$AC$12 + $G5*'Cancel Curves'!$AB$12 + $H5*'Cancel Curves'!$AA$12 + $I5*'Cancel Curves'!$Z$12 + $J5*'Cancel Curves'!$Y$12 + $K5*'Cancel Curves'!$X$12 + $L5*'Cancel Curves'!$W$12 + $M5*'Cancel Curves'!$V$12 + $N5*'Cancel Curves'!$U$12 + $O5*'Cancel Curves'!$T$12 + $P5*'Cancel Curves'!$S$12 + $Q5*'Cancel Curves'!$R$12 + $R5*'Cancel Curves'!$Q$12 + $S5*'Cancel Curves'!$P$12 + $T5*'Cancel Curves'!$O$12 + $U5*'Cancel Curves'!$N$12 + $V5*'Cancel Curves'!$M$12 + $W5*'Cancel Curves'!$L$12 + $X5*'Cancel Curves'!$K$12 + $Y5*'Cancel Curves'!$J$12 + $Z5*'Cancel Curves'!$I$12 + $AA5*'Cancel Curves'!$H$12 + $AB5*'Cancel Curves'!$G$12 + $AC5*'Cancel Curves'!$F$12 + $AD5*'Cancel Curves'!$E$12 + $AE5*'Cancel Curves'!$D$12 + $AF5*'Cancel Curves'!$C$12 + $AG5*'Cancel Curves'!$B$12</f>
        <v/>
      </c>
      <c r="AH6" s="26">
        <f>$E5*'Cancel Curves'!$AE$12 + $F5*'Cancel Curves'!$AD$12 + $G5*'Cancel Curves'!$AC$12 + $H5*'Cancel Curves'!$AB$12 + $I5*'Cancel Curves'!$AA$12 + $J5*'Cancel Curves'!$Z$12 + $K5*'Cancel Curves'!$Y$12 + $L5*'Cancel Curves'!$X$12 + $M5*'Cancel Curves'!$W$12 + $N5*'Cancel Curves'!$V$12 + $O5*'Cancel Curves'!$U$12 + $P5*'Cancel Curves'!$T$12 + $Q5*'Cancel Curves'!$S$12 + $R5*'Cancel Curves'!$R$12 + $S5*'Cancel Curves'!$Q$12 + $T5*'Cancel Curves'!$P$12 + $U5*'Cancel Curves'!$O$12 + $V5*'Cancel Curves'!$N$12 + $W5*'Cancel Curves'!$M$12 + $X5*'Cancel Curves'!$L$12 + $Y5*'Cancel Curves'!$K$12 + $Z5*'Cancel Curves'!$J$12 + $AA5*'Cancel Curves'!$I$12 + $AB5*'Cancel Curves'!$H$12 + $AC5*'Cancel Curves'!$G$12 + $AD5*'Cancel Curves'!$F$12 + $AE5*'Cancel Curves'!$E$12 + $AF5*'Cancel Curves'!$D$12 + $AG5*'Cancel Curves'!$C$12 + $AH5*'Cancel Curves'!$B$12</f>
        <v/>
      </c>
      <c r="AI6" s="26">
        <f>$F5*'Cancel Curves'!$AE$12 + $G5*'Cancel Curves'!$AD$12 + $H5*'Cancel Curves'!$AC$12 + $I5*'Cancel Curves'!$AB$12 + $J5*'Cancel Curves'!$AA$12 + $K5*'Cancel Curves'!$Z$12 + $L5*'Cancel Curves'!$Y$12 + $M5*'Cancel Curves'!$X$12 + $N5*'Cancel Curves'!$W$12 + $O5*'Cancel Curves'!$V$12 + $P5*'Cancel Curves'!$U$12 + $Q5*'Cancel Curves'!$T$12 + $R5*'Cancel Curves'!$S$12 + $S5*'Cancel Curves'!$R$12 + $T5*'Cancel Curves'!$Q$12 + $U5*'Cancel Curves'!$P$12 + $V5*'Cancel Curves'!$O$12 + $W5*'Cancel Curves'!$N$12 + $X5*'Cancel Curves'!$M$12 + $Y5*'Cancel Curves'!$L$12 + $Z5*'Cancel Curves'!$K$12 + $AA5*'Cancel Curves'!$J$12 + $AB5*'Cancel Curves'!$I$12 + $AC5*'Cancel Curves'!$H$12 + $AD5*'Cancel Curves'!$G$12 + $AE5*'Cancel Curves'!$F$12 + $AF5*'Cancel Curves'!$E$12 + $AG5*'Cancel Curves'!$D$12 + $AH5*'Cancel Curves'!$C$12 + $AI5*'Cancel Curves'!$B$12</f>
        <v/>
      </c>
      <c r="AJ6" s="26">
        <f>$G5*'Cancel Curves'!$AE$12 + $H5*'Cancel Curves'!$AD$12 + $I5*'Cancel Curves'!$AC$12 + $J5*'Cancel Curves'!$AB$12 + $K5*'Cancel Curves'!$AA$12 + $L5*'Cancel Curves'!$Z$12 + $M5*'Cancel Curves'!$Y$12 + $N5*'Cancel Curves'!$X$12 + $O5*'Cancel Curves'!$W$12 + $P5*'Cancel Curves'!$V$12 + $Q5*'Cancel Curves'!$U$12 + $R5*'Cancel Curves'!$T$12 + $S5*'Cancel Curves'!$S$12 + $T5*'Cancel Curves'!$R$12 + $U5*'Cancel Curves'!$Q$12 + $V5*'Cancel Curves'!$P$12 + $W5*'Cancel Curves'!$O$12 + $X5*'Cancel Curves'!$N$12 + $Y5*'Cancel Curves'!$M$12 + $Z5*'Cancel Curves'!$L$12 + $AA5*'Cancel Curves'!$K$12 + $AB5*'Cancel Curves'!$J$12 + $AC5*'Cancel Curves'!$I$12 + $AD5*'Cancel Curves'!$H$12 + $AE5*'Cancel Curves'!$G$12 + $AF5*'Cancel Curves'!$F$12 + $AG5*'Cancel Curves'!$E$12 + $AH5*'Cancel Curves'!$D$12 + $AI5*'Cancel Curves'!$C$12 + $AJ5*'Cancel Curves'!$B$12</f>
        <v/>
      </c>
      <c r="AK6" s="26">
        <f>$H5*'Cancel Curves'!$AE$12 + $I5*'Cancel Curves'!$AD$12 + $J5*'Cancel Curves'!$AC$12 + $K5*'Cancel Curves'!$AB$12 + $L5*'Cancel Curves'!$AA$12 + $M5*'Cancel Curves'!$Z$12 + $N5*'Cancel Curves'!$Y$12 + $O5*'Cancel Curves'!$X$12 + $P5*'Cancel Curves'!$W$12 + $Q5*'Cancel Curves'!$V$12 + $R5*'Cancel Curves'!$U$12 + $S5*'Cancel Curves'!$T$12 + $T5*'Cancel Curves'!$S$12 + $U5*'Cancel Curves'!$R$12 + $V5*'Cancel Curves'!$Q$12 + $W5*'Cancel Curves'!$P$12 + $X5*'Cancel Curves'!$O$12 + $Y5*'Cancel Curves'!$N$12 + $Z5*'Cancel Curves'!$M$12 + $AA5*'Cancel Curves'!$L$12 + $AB5*'Cancel Curves'!$K$12 + $AC5*'Cancel Curves'!$J$12 + $AD5*'Cancel Curves'!$I$12 + $AE5*'Cancel Curves'!$H$12 + $AF5*'Cancel Curves'!$G$12 + $AG5*'Cancel Curves'!$F$12 + $AH5*'Cancel Curves'!$E$12 + $AI5*'Cancel Curves'!$D$12 + $AJ5*'Cancel Curves'!$C$12 + $AK5*'Cancel Curves'!$B$12</f>
        <v/>
      </c>
      <c r="AL6" s="26">
        <f>$I5*'Cancel Curves'!$AE$12 + $J5*'Cancel Curves'!$AD$12 + $K5*'Cancel Curves'!$AC$12 + $L5*'Cancel Curves'!$AB$12 + $M5*'Cancel Curves'!$AA$12 + $N5*'Cancel Curves'!$Z$12 + $O5*'Cancel Curves'!$Y$12 + $P5*'Cancel Curves'!$X$12 + $Q5*'Cancel Curves'!$W$12 + $R5*'Cancel Curves'!$V$12 + $S5*'Cancel Curves'!$U$12 + $T5*'Cancel Curves'!$T$12 + $U5*'Cancel Curves'!$S$12 + $V5*'Cancel Curves'!$R$12 + $W5*'Cancel Curves'!$Q$12 + $X5*'Cancel Curves'!$P$12 + $Y5*'Cancel Curves'!$O$12 + $Z5*'Cancel Curves'!$N$12 + $AA5*'Cancel Curves'!$M$12 + $AB5*'Cancel Curves'!$L$12 + $AC5*'Cancel Curves'!$K$12 + $AD5*'Cancel Curves'!$J$12 + $AE5*'Cancel Curves'!$I$12 + $AF5*'Cancel Curves'!$H$12 + $AG5*'Cancel Curves'!$G$12 + $AH5*'Cancel Curves'!$F$12 + $AI5*'Cancel Curves'!$E$12 + $AJ5*'Cancel Curves'!$D$12 + $AK5*'Cancel Curves'!$C$12 + $AL5*'Cancel Curves'!$B$12</f>
        <v/>
      </c>
      <c r="AM6" s="26">
        <f>$J5*'Cancel Curves'!$AE$12 + $K5*'Cancel Curves'!$AD$12 + $L5*'Cancel Curves'!$AC$12 + $M5*'Cancel Curves'!$AB$12 + $N5*'Cancel Curves'!$AA$12 + $O5*'Cancel Curves'!$Z$12 + $P5*'Cancel Curves'!$Y$12 + $Q5*'Cancel Curves'!$X$12 + $R5*'Cancel Curves'!$W$12 + $S5*'Cancel Curves'!$V$12 + $T5*'Cancel Curves'!$U$12 + $U5*'Cancel Curves'!$T$12 + $V5*'Cancel Curves'!$S$12 + $W5*'Cancel Curves'!$R$12 + $X5*'Cancel Curves'!$Q$12 + $Y5*'Cancel Curves'!$P$12 + $Z5*'Cancel Curves'!$O$12 + $AA5*'Cancel Curves'!$N$12 + $AB5*'Cancel Curves'!$M$12 + $AC5*'Cancel Curves'!$L$12 + $AD5*'Cancel Curves'!$K$12 + $AE5*'Cancel Curves'!$J$12 + $AF5*'Cancel Curves'!$I$12 + $AG5*'Cancel Curves'!$H$12 + $AH5*'Cancel Curves'!$G$12 + $AI5*'Cancel Curves'!$F$12 + $AJ5*'Cancel Curves'!$E$12 + $AK5*'Cancel Curves'!$D$12 + $AL5*'Cancel Curves'!$C$12 + $AM5*'Cancel Curves'!$B$12</f>
        <v/>
      </c>
      <c r="AN6" s="26">
        <f>$K5*'Cancel Curves'!$AE$12 + $L5*'Cancel Curves'!$AD$12 + $M5*'Cancel Curves'!$AC$12 + $N5*'Cancel Curves'!$AB$12 + $O5*'Cancel Curves'!$AA$12 + $P5*'Cancel Curves'!$Z$12 + $Q5*'Cancel Curves'!$Y$12 + $R5*'Cancel Curves'!$X$12 + $S5*'Cancel Curves'!$W$12 + $T5*'Cancel Curves'!$V$12 + $U5*'Cancel Curves'!$U$12 + $V5*'Cancel Curves'!$T$12 + $W5*'Cancel Curves'!$S$12 + $X5*'Cancel Curves'!$R$12 + $Y5*'Cancel Curves'!$Q$12 + $Z5*'Cancel Curves'!$P$12 + $AA5*'Cancel Curves'!$O$12 + $AB5*'Cancel Curves'!$N$12 + $AC5*'Cancel Curves'!$M$12 + $AD5*'Cancel Curves'!$L$12 + $AE5*'Cancel Curves'!$K$12 + $AF5*'Cancel Curves'!$J$12 + $AG5*'Cancel Curves'!$I$12 + $AH5*'Cancel Curves'!$H$12 + $AI5*'Cancel Curves'!$G$12 + $AJ5*'Cancel Curves'!$F$12 + $AK5*'Cancel Curves'!$E$12 + $AL5*'Cancel Curves'!$D$12 + $AM5*'Cancel Curves'!$C$12 + $AN5*'Cancel Curves'!$B$12</f>
        <v/>
      </c>
      <c r="AO6" s="26">
        <f>$L5*'Cancel Curves'!$AE$12 + $M5*'Cancel Curves'!$AD$12 + $N5*'Cancel Curves'!$AC$12 + $O5*'Cancel Curves'!$AB$12 + $P5*'Cancel Curves'!$AA$12 + $Q5*'Cancel Curves'!$Z$12 + $R5*'Cancel Curves'!$Y$12 + $S5*'Cancel Curves'!$X$12 + $T5*'Cancel Curves'!$W$12 + $U5*'Cancel Curves'!$V$12 + $V5*'Cancel Curves'!$U$12 + $W5*'Cancel Curves'!$T$12 + $X5*'Cancel Curves'!$S$12 + $Y5*'Cancel Curves'!$R$12 + $Z5*'Cancel Curves'!$Q$12 + $AA5*'Cancel Curves'!$P$12 + $AB5*'Cancel Curves'!$O$12 + $AC5*'Cancel Curves'!$N$12 + $AD5*'Cancel Curves'!$M$12 + $AE5*'Cancel Curves'!$L$12 + $AF5*'Cancel Curves'!$K$12 + $AG5*'Cancel Curves'!$J$12 + $AH5*'Cancel Curves'!$I$12 + $AI5*'Cancel Curves'!$H$12 + $AJ5*'Cancel Curves'!$G$12 + $AK5*'Cancel Curves'!$F$12 + $AL5*'Cancel Curves'!$E$12 + $AM5*'Cancel Curves'!$D$12 + $AN5*'Cancel Curves'!$C$12 + $AO5*'Cancel Curves'!$B$12</f>
        <v/>
      </c>
      <c r="AP6" s="26">
        <f>$M5*'Cancel Curves'!$AE$12 + $N5*'Cancel Curves'!$AD$12 + $O5*'Cancel Curves'!$AC$12 + $P5*'Cancel Curves'!$AB$12 + $Q5*'Cancel Curves'!$AA$12 + $R5*'Cancel Curves'!$Z$12 + $S5*'Cancel Curves'!$Y$12 + $T5*'Cancel Curves'!$X$12 + $U5*'Cancel Curves'!$W$12 + $V5*'Cancel Curves'!$V$12 + $W5*'Cancel Curves'!$U$12 + $X5*'Cancel Curves'!$T$12 + $Y5*'Cancel Curves'!$S$12 + $Z5*'Cancel Curves'!$R$12 + $AA5*'Cancel Curves'!$Q$12 + $AB5*'Cancel Curves'!$P$12 + $AC5*'Cancel Curves'!$O$12 + $AD5*'Cancel Curves'!$N$12 + $AE5*'Cancel Curves'!$M$12 + $AF5*'Cancel Curves'!$L$12 + $AG5*'Cancel Curves'!$K$12 + $AH5*'Cancel Curves'!$J$12 + $AI5*'Cancel Curves'!$I$12 + $AJ5*'Cancel Curves'!$H$12 + $AK5*'Cancel Curves'!$G$12 + $AL5*'Cancel Curves'!$F$12 + $AM5*'Cancel Curves'!$E$12 + $AN5*'Cancel Curves'!$D$12 + $AO5*'Cancel Curves'!$C$12 + $AP5*'Cancel Curves'!$B$12</f>
        <v/>
      </c>
      <c r="AQ6" s="26">
        <f>$N5*'Cancel Curves'!$AE$12 + $O5*'Cancel Curves'!$AD$12 + $P5*'Cancel Curves'!$AC$12 + $Q5*'Cancel Curves'!$AB$12 + $R5*'Cancel Curves'!$AA$12 + $S5*'Cancel Curves'!$Z$12 + $T5*'Cancel Curves'!$Y$12 + $U5*'Cancel Curves'!$X$12 + $V5*'Cancel Curves'!$W$12 + $W5*'Cancel Curves'!$V$12 + $X5*'Cancel Curves'!$U$12 + $Y5*'Cancel Curves'!$T$12 + $Z5*'Cancel Curves'!$S$12 + $AA5*'Cancel Curves'!$R$12 + $AB5*'Cancel Curves'!$Q$12 + $AC5*'Cancel Curves'!$P$12 + $AD5*'Cancel Curves'!$O$12 + $AE5*'Cancel Curves'!$N$12 + $AF5*'Cancel Curves'!$M$12 + $AG5*'Cancel Curves'!$L$12 + $AH5*'Cancel Curves'!$K$12 + $AI5*'Cancel Curves'!$J$12 + $AJ5*'Cancel Curves'!$I$12 + $AK5*'Cancel Curves'!$H$12 + $AL5*'Cancel Curves'!$G$12 + $AM5*'Cancel Curves'!$F$12 + $AN5*'Cancel Curves'!$E$12 + $AO5*'Cancel Curves'!$D$12 + $AP5*'Cancel Curves'!$C$12 + $AQ5*'Cancel Curves'!$B$12</f>
        <v/>
      </c>
      <c r="AR6" s="26">
        <f>$O5*'Cancel Curves'!$AE$12 + $P5*'Cancel Curves'!$AD$12 + $Q5*'Cancel Curves'!$AC$12 + $R5*'Cancel Curves'!$AB$12 + $S5*'Cancel Curves'!$AA$12 + $T5*'Cancel Curves'!$Z$12 + $U5*'Cancel Curves'!$Y$12 + $V5*'Cancel Curves'!$X$12 + $W5*'Cancel Curves'!$W$12 + $X5*'Cancel Curves'!$V$12 + $Y5*'Cancel Curves'!$U$12 + $Z5*'Cancel Curves'!$T$12 + $AA5*'Cancel Curves'!$S$12 + $AB5*'Cancel Curves'!$R$12 + $AC5*'Cancel Curves'!$Q$12 + $AD5*'Cancel Curves'!$P$12 + $AE5*'Cancel Curves'!$O$12 + $AF5*'Cancel Curves'!$N$12 + $AG5*'Cancel Curves'!$M$12 + $AH5*'Cancel Curves'!$L$12 + $AI5*'Cancel Curves'!$K$12 + $AJ5*'Cancel Curves'!$J$12 + $AK5*'Cancel Curves'!$I$12 + $AL5*'Cancel Curves'!$H$12 + $AM5*'Cancel Curves'!$G$12 + $AN5*'Cancel Curves'!$F$12 + $AO5*'Cancel Curves'!$E$12 + $AP5*'Cancel Curves'!$D$12 + $AQ5*'Cancel Curves'!$C$12 + $AR5*'Cancel Curves'!$B$12</f>
        <v/>
      </c>
      <c r="AS6" s="26">
        <f>$P5*'Cancel Curves'!$AE$12 + $Q5*'Cancel Curves'!$AD$12 + $R5*'Cancel Curves'!$AC$12 + $S5*'Cancel Curves'!$AB$12 + $T5*'Cancel Curves'!$AA$12 + $U5*'Cancel Curves'!$Z$12 + $V5*'Cancel Curves'!$Y$12 + $W5*'Cancel Curves'!$X$12 + $X5*'Cancel Curves'!$W$12 + $Y5*'Cancel Curves'!$V$12 + $Z5*'Cancel Curves'!$U$12 + $AA5*'Cancel Curves'!$T$12 + $AB5*'Cancel Curves'!$S$12 + $AC5*'Cancel Curves'!$R$12 + $AD5*'Cancel Curves'!$Q$12 + $AE5*'Cancel Curves'!$P$12 + $AF5*'Cancel Curves'!$O$12 + $AG5*'Cancel Curves'!$N$12 + $AH5*'Cancel Curves'!$M$12 + $AI5*'Cancel Curves'!$L$12 + $AJ5*'Cancel Curves'!$K$12 + $AK5*'Cancel Curves'!$J$12 + $AL5*'Cancel Curves'!$I$12 + $AM5*'Cancel Curves'!$H$12 + $AN5*'Cancel Curves'!$G$12 + $AO5*'Cancel Curves'!$F$12 + $AP5*'Cancel Curves'!$E$12 + $AQ5*'Cancel Curves'!$D$12 + $AR5*'Cancel Curves'!$C$12 + $AS5*'Cancel Curves'!$B$12</f>
        <v/>
      </c>
      <c r="AT6" s="26">
        <f>$Q5*'Cancel Curves'!$AE$12 + $R5*'Cancel Curves'!$AD$12 + $S5*'Cancel Curves'!$AC$12 + $T5*'Cancel Curves'!$AB$12 + $U5*'Cancel Curves'!$AA$12 + $V5*'Cancel Curves'!$Z$12 + $W5*'Cancel Curves'!$Y$12 + $X5*'Cancel Curves'!$X$12 + $Y5*'Cancel Curves'!$W$12 + $Z5*'Cancel Curves'!$V$12 + $AA5*'Cancel Curves'!$U$12 + $AB5*'Cancel Curves'!$T$12 + $AC5*'Cancel Curves'!$S$12 + $AD5*'Cancel Curves'!$R$12 + $AE5*'Cancel Curves'!$Q$12 + $AF5*'Cancel Curves'!$P$12 + $AG5*'Cancel Curves'!$O$12 + $AH5*'Cancel Curves'!$N$12 + $AI5*'Cancel Curves'!$M$12 + $AJ5*'Cancel Curves'!$L$12 + $AK5*'Cancel Curves'!$K$12 + $AL5*'Cancel Curves'!$J$12 + $AM5*'Cancel Curves'!$I$12 + $AN5*'Cancel Curves'!$H$12 + $AO5*'Cancel Curves'!$G$12 + $AP5*'Cancel Curves'!$F$12 + $AQ5*'Cancel Curves'!$E$12 + $AR5*'Cancel Curves'!$D$12 + $AS5*'Cancel Curves'!$C$12 + $AT5*'Cancel Curves'!$B$12</f>
        <v/>
      </c>
      <c r="AU6" s="26">
        <f>$R5*'Cancel Curves'!$AE$12 + $S5*'Cancel Curves'!$AD$12 + $T5*'Cancel Curves'!$AC$12 + $U5*'Cancel Curves'!$AB$12 + $V5*'Cancel Curves'!$AA$12 + $W5*'Cancel Curves'!$Z$12 + $X5*'Cancel Curves'!$Y$12 + $Y5*'Cancel Curves'!$X$12 + $Z5*'Cancel Curves'!$W$12 + $AA5*'Cancel Curves'!$V$12 + $AB5*'Cancel Curves'!$U$12 + $AC5*'Cancel Curves'!$T$12 + $AD5*'Cancel Curves'!$S$12 + $AE5*'Cancel Curves'!$R$12 + $AF5*'Cancel Curves'!$Q$12 + $AG5*'Cancel Curves'!$P$12 + $AH5*'Cancel Curves'!$O$12 + $AI5*'Cancel Curves'!$N$12 + $AJ5*'Cancel Curves'!$M$12 + $AK5*'Cancel Curves'!$L$12 + $AL5*'Cancel Curves'!$K$12 + $AM5*'Cancel Curves'!$J$12 + $AN5*'Cancel Curves'!$I$12 + $AO5*'Cancel Curves'!$H$12 + $AP5*'Cancel Curves'!$G$12 + $AQ5*'Cancel Curves'!$F$12 + $AR5*'Cancel Curves'!$E$12 + $AS5*'Cancel Curves'!$D$12 + $AT5*'Cancel Curves'!$C$12 + $AU5*'Cancel Curves'!$B$12</f>
        <v/>
      </c>
      <c r="AV6" s="26">
        <f>$S5*'Cancel Curves'!$AE$12 + $T5*'Cancel Curves'!$AD$12 + $U5*'Cancel Curves'!$AC$12 + $V5*'Cancel Curves'!$AB$12 + $W5*'Cancel Curves'!$AA$12 + $X5*'Cancel Curves'!$Z$12 + $Y5*'Cancel Curves'!$Y$12 + $Z5*'Cancel Curves'!$X$12 + $AA5*'Cancel Curves'!$W$12 + $AB5*'Cancel Curves'!$V$12 + $AC5*'Cancel Curves'!$U$12 + $AD5*'Cancel Curves'!$T$12 + $AE5*'Cancel Curves'!$S$12 + $AF5*'Cancel Curves'!$R$12 + $AG5*'Cancel Curves'!$Q$12 + $AH5*'Cancel Curves'!$P$12 + $AI5*'Cancel Curves'!$O$12 + $AJ5*'Cancel Curves'!$N$12 + $AK5*'Cancel Curves'!$M$12 + $AL5*'Cancel Curves'!$L$12 + $AM5*'Cancel Curves'!$K$12 + $AN5*'Cancel Curves'!$J$12 + $AO5*'Cancel Curves'!$I$12 + $AP5*'Cancel Curves'!$H$12 + $AQ5*'Cancel Curves'!$G$12 + $AR5*'Cancel Curves'!$F$12 + $AS5*'Cancel Curves'!$E$12 + $AT5*'Cancel Curves'!$D$12 + $AU5*'Cancel Curves'!$C$12 + $AV5*'Cancel Curves'!$B$12</f>
        <v/>
      </c>
      <c r="AW6" s="26">
        <f>$T5*'Cancel Curves'!$AE$12 + $U5*'Cancel Curves'!$AD$12 + $V5*'Cancel Curves'!$AC$12 + $W5*'Cancel Curves'!$AB$12 + $X5*'Cancel Curves'!$AA$12 + $Y5*'Cancel Curves'!$Z$12 + $Z5*'Cancel Curves'!$Y$12 + $AA5*'Cancel Curves'!$X$12 + $AB5*'Cancel Curves'!$W$12 + $AC5*'Cancel Curves'!$V$12 + $AD5*'Cancel Curves'!$U$12 + $AE5*'Cancel Curves'!$T$12 + $AF5*'Cancel Curves'!$S$12 + $AG5*'Cancel Curves'!$R$12 + $AH5*'Cancel Curves'!$Q$12 + $AI5*'Cancel Curves'!$P$12 + $AJ5*'Cancel Curves'!$O$12 + $AK5*'Cancel Curves'!$N$12 + $AL5*'Cancel Curves'!$M$12 + $AM5*'Cancel Curves'!$L$12 + $AN5*'Cancel Curves'!$K$12 + $AO5*'Cancel Curves'!$J$12 + $AP5*'Cancel Curves'!$I$12 + $AQ5*'Cancel Curves'!$H$12 + $AR5*'Cancel Curves'!$G$12 + $AS5*'Cancel Curves'!$F$12 + $AT5*'Cancel Curves'!$E$12 + $AU5*'Cancel Curves'!$D$12 + $AV5*'Cancel Curves'!$C$12 + $AW5*'Cancel Curves'!$B$12</f>
        <v/>
      </c>
      <c r="AX6" s="26">
        <f>$U5*'Cancel Curves'!$AE$12 + $V5*'Cancel Curves'!$AD$12 + $W5*'Cancel Curves'!$AC$12 + $X5*'Cancel Curves'!$AB$12 + $Y5*'Cancel Curves'!$AA$12 + $Z5*'Cancel Curves'!$Z$12 + $AA5*'Cancel Curves'!$Y$12 + $AB5*'Cancel Curves'!$X$12 + $AC5*'Cancel Curves'!$W$12 + $AD5*'Cancel Curves'!$V$12 + $AE5*'Cancel Curves'!$U$12 + $AF5*'Cancel Curves'!$T$12 + $AG5*'Cancel Curves'!$S$12 + $AH5*'Cancel Curves'!$R$12 + $AI5*'Cancel Curves'!$Q$12 + $AJ5*'Cancel Curves'!$P$12 + $AK5*'Cancel Curves'!$O$12 + $AL5*'Cancel Curves'!$N$12 + $AM5*'Cancel Curves'!$M$12 + $AN5*'Cancel Curves'!$L$12 + $AO5*'Cancel Curves'!$K$12 + $AP5*'Cancel Curves'!$J$12 + $AQ5*'Cancel Curves'!$I$12 + $AR5*'Cancel Curves'!$H$12 + $AS5*'Cancel Curves'!$G$12 + $AT5*'Cancel Curves'!$F$12 + $AU5*'Cancel Curves'!$E$12 + $AV5*'Cancel Curves'!$D$12 + $AW5*'Cancel Curves'!$C$12 + $AX5*'Cancel Curves'!$B$12</f>
        <v/>
      </c>
      <c r="AY6" s="26">
        <f>$V5*'Cancel Curves'!$AE$12 + $W5*'Cancel Curves'!$AD$12 + $X5*'Cancel Curves'!$AC$12 + $Y5*'Cancel Curves'!$AB$12 + $Z5*'Cancel Curves'!$AA$12 + $AA5*'Cancel Curves'!$Z$12 + $AB5*'Cancel Curves'!$Y$12 + $AC5*'Cancel Curves'!$X$12 + $AD5*'Cancel Curves'!$W$12 + $AE5*'Cancel Curves'!$V$12 + $AF5*'Cancel Curves'!$U$12 + $AG5*'Cancel Curves'!$T$12 + $AH5*'Cancel Curves'!$S$12 + $AI5*'Cancel Curves'!$R$12 + $AJ5*'Cancel Curves'!$Q$12 + $AK5*'Cancel Curves'!$P$12 + $AL5*'Cancel Curves'!$O$12 + $AM5*'Cancel Curves'!$N$12 + $AN5*'Cancel Curves'!$M$12 + $AO5*'Cancel Curves'!$L$12 + $AP5*'Cancel Curves'!$K$12 + $AQ5*'Cancel Curves'!$J$12 + $AR5*'Cancel Curves'!$I$12 + $AS5*'Cancel Curves'!$H$12 + $AT5*'Cancel Curves'!$G$12 + $AU5*'Cancel Curves'!$F$12 + $AV5*'Cancel Curves'!$E$12 + $AW5*'Cancel Curves'!$D$12 + $AX5*'Cancel Curves'!$C$12 + $AY5*'Cancel Curves'!$B$12</f>
        <v/>
      </c>
      <c r="AZ6" s="26">
        <f>$W5*'Cancel Curves'!$AE$12 + $X5*'Cancel Curves'!$AD$12 + $Y5*'Cancel Curves'!$AC$12 + $Z5*'Cancel Curves'!$AB$12 + $AA5*'Cancel Curves'!$AA$12 + $AB5*'Cancel Curves'!$Z$12 + $AC5*'Cancel Curves'!$Y$12 + $AD5*'Cancel Curves'!$X$12 + $AE5*'Cancel Curves'!$W$12 + $AF5*'Cancel Curves'!$V$12 + $AG5*'Cancel Curves'!$U$12 + $AH5*'Cancel Curves'!$T$12 + $AI5*'Cancel Curves'!$S$12 + $AJ5*'Cancel Curves'!$R$12 + $AK5*'Cancel Curves'!$Q$12 + $AL5*'Cancel Curves'!$P$12 + $AM5*'Cancel Curves'!$O$12 + $AN5*'Cancel Curves'!$N$12 + $AO5*'Cancel Curves'!$M$12 + $AP5*'Cancel Curves'!$L$12 + $AQ5*'Cancel Curves'!$K$12 + $AR5*'Cancel Curves'!$J$12 + $AS5*'Cancel Curves'!$I$12 + $AT5*'Cancel Curves'!$H$12 + $AU5*'Cancel Curves'!$G$12 + $AV5*'Cancel Curves'!$F$12 + $AW5*'Cancel Curves'!$E$12 + $AX5*'Cancel Curves'!$D$12 + $AY5*'Cancel Curves'!$C$12 + $AZ5*'Cancel Curves'!$B$12</f>
        <v/>
      </c>
      <c r="BA6" s="26">
        <f>$X5*'Cancel Curves'!$AE$12 + $Y5*'Cancel Curves'!$AD$12 + $Z5*'Cancel Curves'!$AC$12 + $AA5*'Cancel Curves'!$AB$12 + $AB5*'Cancel Curves'!$AA$12 + $AC5*'Cancel Curves'!$Z$12 + $AD5*'Cancel Curves'!$Y$12 + $AE5*'Cancel Curves'!$X$12 + $AF5*'Cancel Curves'!$W$12 + $AG5*'Cancel Curves'!$V$12 + $AH5*'Cancel Curves'!$U$12 + $AI5*'Cancel Curves'!$T$12 + $AJ5*'Cancel Curves'!$S$12 + $AK5*'Cancel Curves'!$R$12 + $AL5*'Cancel Curves'!$Q$12 + $AM5*'Cancel Curves'!$P$12 + $AN5*'Cancel Curves'!$O$12 + $AO5*'Cancel Curves'!$N$12 + $AP5*'Cancel Curves'!$M$12 + $AQ5*'Cancel Curves'!$L$12 + $AR5*'Cancel Curves'!$K$12 + $AS5*'Cancel Curves'!$J$12 + $AT5*'Cancel Curves'!$I$12 + $AU5*'Cancel Curves'!$H$12 + $AV5*'Cancel Curves'!$G$12 + $AW5*'Cancel Curves'!$F$12 + $AX5*'Cancel Curves'!$E$12 + $AY5*'Cancel Curves'!$D$12 + $AZ5*'Cancel Curves'!$C$12 + $BA5*'Cancel Curves'!$B$12</f>
        <v/>
      </c>
      <c r="BB6" s="26">
        <f>$Y5*'Cancel Curves'!$AE$12 + $Z5*'Cancel Curves'!$AD$12 + $AA5*'Cancel Curves'!$AC$12 + $AB5*'Cancel Curves'!$AB$12 + $AC5*'Cancel Curves'!$AA$12 + $AD5*'Cancel Curves'!$Z$12 + $AE5*'Cancel Curves'!$Y$12 + $AF5*'Cancel Curves'!$X$12 + $AG5*'Cancel Curves'!$W$12 + $AH5*'Cancel Curves'!$V$12 + $AI5*'Cancel Curves'!$U$12 + $AJ5*'Cancel Curves'!$T$12 + $AK5*'Cancel Curves'!$S$12 + $AL5*'Cancel Curves'!$R$12 + $AM5*'Cancel Curves'!$Q$12 + $AN5*'Cancel Curves'!$P$12 + $AO5*'Cancel Curves'!$O$12 + $AP5*'Cancel Curves'!$N$12 + $AQ5*'Cancel Curves'!$M$12 + $AR5*'Cancel Curves'!$L$12 + $AS5*'Cancel Curves'!$K$12 + $AT5*'Cancel Curves'!$J$12 + $AU5*'Cancel Curves'!$I$12 + $AV5*'Cancel Curves'!$H$12 + $AW5*'Cancel Curves'!$G$12 + $AX5*'Cancel Curves'!$F$12 + $AY5*'Cancel Curves'!$E$12 + $AZ5*'Cancel Curves'!$D$12 + $BA5*'Cancel Curves'!$C$12 + $BB5*'Cancel Curves'!$B$12</f>
        <v/>
      </c>
      <c r="BC6" s="26">
        <f>$Z5*'Cancel Curves'!$AE$12 + $AA5*'Cancel Curves'!$AD$12 + $AB5*'Cancel Curves'!$AC$12 + $AC5*'Cancel Curves'!$AB$12 + $AD5*'Cancel Curves'!$AA$12 + $AE5*'Cancel Curves'!$Z$12 + $AF5*'Cancel Curves'!$Y$12 + $AG5*'Cancel Curves'!$X$12 + $AH5*'Cancel Curves'!$W$12 + $AI5*'Cancel Curves'!$V$12 + $AJ5*'Cancel Curves'!$U$12 + $AK5*'Cancel Curves'!$T$12 + $AL5*'Cancel Curves'!$S$12 + $AM5*'Cancel Curves'!$R$12 + $AN5*'Cancel Curves'!$Q$12 + $AO5*'Cancel Curves'!$P$12 + $AP5*'Cancel Curves'!$O$12 + $AQ5*'Cancel Curves'!$N$12 + $AR5*'Cancel Curves'!$M$12 + $AS5*'Cancel Curves'!$L$12 + $AT5*'Cancel Curves'!$K$12 + $AU5*'Cancel Curves'!$J$12 + $AV5*'Cancel Curves'!$I$12 + $AW5*'Cancel Curves'!$H$12 + $AX5*'Cancel Curves'!$G$12 + $AY5*'Cancel Curves'!$F$12 + $AZ5*'Cancel Curves'!$E$12 + $BA5*'Cancel Curves'!$D$12 + $BB5*'Cancel Curves'!$C$12 + $BC5*'Cancel Curves'!$B$12</f>
        <v/>
      </c>
      <c r="BD6" s="26">
        <f>$AA5*'Cancel Curves'!$AE$12 + $AB5*'Cancel Curves'!$AD$12 + $AC5*'Cancel Curves'!$AC$12 + $AD5*'Cancel Curves'!$AB$12 + $AE5*'Cancel Curves'!$AA$12 + $AF5*'Cancel Curves'!$Z$12 + $AG5*'Cancel Curves'!$Y$12 + $AH5*'Cancel Curves'!$X$12 + $AI5*'Cancel Curves'!$W$12 + $AJ5*'Cancel Curves'!$V$12 + $AK5*'Cancel Curves'!$U$12 + $AL5*'Cancel Curves'!$T$12 + $AM5*'Cancel Curves'!$S$12 + $AN5*'Cancel Curves'!$R$12 + $AO5*'Cancel Curves'!$Q$12 + $AP5*'Cancel Curves'!$P$12 + $AQ5*'Cancel Curves'!$O$12 + $AR5*'Cancel Curves'!$N$12 + $AS5*'Cancel Curves'!$M$12 + $AT5*'Cancel Curves'!$L$12 + $AU5*'Cancel Curves'!$K$12 + $AV5*'Cancel Curves'!$J$12 + $AW5*'Cancel Curves'!$I$12 + $AX5*'Cancel Curves'!$H$12 + $AY5*'Cancel Curves'!$G$12 + $AZ5*'Cancel Curves'!$F$12 + $BA5*'Cancel Curves'!$E$12 + $BB5*'Cancel Curves'!$D$12 + $BC5*'Cancel Curves'!$C$12 + $BD5*'Cancel Curves'!$B$12</f>
        <v/>
      </c>
      <c r="BE6" s="26">
        <f>$AB5*'Cancel Curves'!$AE$12 + $AC5*'Cancel Curves'!$AD$12 + $AD5*'Cancel Curves'!$AC$12 + $AE5*'Cancel Curves'!$AB$12 + $AF5*'Cancel Curves'!$AA$12 + $AG5*'Cancel Curves'!$Z$12 + $AH5*'Cancel Curves'!$Y$12 + $AI5*'Cancel Curves'!$X$12 + $AJ5*'Cancel Curves'!$W$12 + $AK5*'Cancel Curves'!$V$12 + $AL5*'Cancel Curves'!$U$12 + $AM5*'Cancel Curves'!$T$12 + $AN5*'Cancel Curves'!$S$12 + $AO5*'Cancel Curves'!$R$12 + $AP5*'Cancel Curves'!$Q$12 + $AQ5*'Cancel Curves'!$P$12 + $AR5*'Cancel Curves'!$O$12 + $AS5*'Cancel Curves'!$N$12 + $AT5*'Cancel Curves'!$M$12 + $AU5*'Cancel Curves'!$L$12 + $AV5*'Cancel Curves'!$K$12 + $AW5*'Cancel Curves'!$J$12 + $AX5*'Cancel Curves'!$I$12 + $AY5*'Cancel Curves'!$H$12 + $AZ5*'Cancel Curves'!$G$12 + $BA5*'Cancel Curves'!$F$12 + $BB5*'Cancel Curves'!$E$12 + $BC5*'Cancel Curves'!$D$12 + $BD5*'Cancel Curves'!$C$12 + $BE5*'Cancel Curves'!$B$12</f>
        <v/>
      </c>
      <c r="BF6" s="26">
        <f>$AC5*'Cancel Curves'!$AE$12 + $AD5*'Cancel Curves'!$AD$12 + $AE5*'Cancel Curves'!$AC$12 + $AF5*'Cancel Curves'!$AB$12 + $AG5*'Cancel Curves'!$AA$12 + $AH5*'Cancel Curves'!$Z$12 + $AI5*'Cancel Curves'!$Y$12 + $AJ5*'Cancel Curves'!$X$12 + $AK5*'Cancel Curves'!$W$12 + $AL5*'Cancel Curves'!$V$12 + $AM5*'Cancel Curves'!$U$12 + $AN5*'Cancel Curves'!$T$12 + $AO5*'Cancel Curves'!$S$12 + $AP5*'Cancel Curves'!$R$12 + $AQ5*'Cancel Curves'!$Q$12 + $AR5*'Cancel Curves'!$P$12 + $AS5*'Cancel Curves'!$O$12 + $AT5*'Cancel Curves'!$N$12 + $AU5*'Cancel Curves'!$M$12 + $AV5*'Cancel Curves'!$L$12 + $AW5*'Cancel Curves'!$K$12 + $AX5*'Cancel Curves'!$J$12 + $AY5*'Cancel Curves'!$I$12 + $AZ5*'Cancel Curves'!$H$12 + $BA5*'Cancel Curves'!$G$12 + $BB5*'Cancel Curves'!$F$12 + $BC5*'Cancel Curves'!$E$12 + $BD5*'Cancel Curves'!$D$12 + $BE5*'Cancel Curves'!$C$12 + $BF5*'Cancel Curves'!$B$12</f>
        <v/>
      </c>
      <c r="BG6" s="26">
        <f>$AD5*'Cancel Curves'!$AE$12 + $AE5*'Cancel Curves'!$AD$12 + $AF5*'Cancel Curves'!$AC$12 + $AG5*'Cancel Curves'!$AB$12 + $AH5*'Cancel Curves'!$AA$12 + $AI5*'Cancel Curves'!$Z$12 + $AJ5*'Cancel Curves'!$Y$12 + $AK5*'Cancel Curves'!$X$12 + $AL5*'Cancel Curves'!$W$12 + $AM5*'Cancel Curves'!$V$12 + $AN5*'Cancel Curves'!$U$12 + $AO5*'Cancel Curves'!$T$12 + $AP5*'Cancel Curves'!$S$12 + $AQ5*'Cancel Curves'!$R$12 + $AR5*'Cancel Curves'!$Q$12 + $AS5*'Cancel Curves'!$P$12 + $AT5*'Cancel Curves'!$O$12 + $AU5*'Cancel Curves'!$N$12 + $AV5*'Cancel Curves'!$M$12 + $AW5*'Cancel Curves'!$L$12 + $AX5*'Cancel Curves'!$K$12 + $AY5*'Cancel Curves'!$J$12 + $AZ5*'Cancel Curves'!$I$12 + $BA5*'Cancel Curves'!$H$12 + $BB5*'Cancel Curves'!$G$12 + $BC5*'Cancel Curves'!$F$12 + $BD5*'Cancel Curves'!$E$12 + $BE5*'Cancel Curves'!$D$12 + $BF5*'Cancel Curves'!$C$12 + $BG5*'Cancel Curves'!$B$12</f>
        <v/>
      </c>
      <c r="BH6" s="26">
        <f>$AE5*'Cancel Curves'!$AE$12 + $AF5*'Cancel Curves'!$AD$12 + $AG5*'Cancel Curves'!$AC$12 + $AH5*'Cancel Curves'!$AB$12 + $AI5*'Cancel Curves'!$AA$12 + $AJ5*'Cancel Curves'!$Z$12 + $AK5*'Cancel Curves'!$Y$12 + $AL5*'Cancel Curves'!$X$12 + $AM5*'Cancel Curves'!$W$12 + $AN5*'Cancel Curves'!$V$12 + $AO5*'Cancel Curves'!$U$12 + $AP5*'Cancel Curves'!$T$12 + $AQ5*'Cancel Curves'!$S$12 + $AR5*'Cancel Curves'!$R$12 + $AS5*'Cancel Curves'!$Q$12 + $AT5*'Cancel Curves'!$P$12 + $AU5*'Cancel Curves'!$O$12 + $AV5*'Cancel Curves'!$N$12 + $AW5*'Cancel Curves'!$M$12 + $AX5*'Cancel Curves'!$L$12 + $AY5*'Cancel Curves'!$K$12 + $AZ5*'Cancel Curves'!$J$12 + $BA5*'Cancel Curves'!$I$12 + $BB5*'Cancel Curves'!$H$12 + $BC5*'Cancel Curves'!$G$12 + $BD5*'Cancel Curves'!$F$12 + $BE5*'Cancel Curves'!$E$12 + $BF5*'Cancel Curves'!$D$12 + $BG5*'Cancel Curves'!$C$12 + $BH5*'Cancel Curves'!$B$12</f>
        <v/>
      </c>
      <c r="BI6" s="26">
        <f>$AF5*'Cancel Curves'!$AE$12 + $AG5*'Cancel Curves'!$AD$12 + $AH5*'Cancel Curves'!$AC$12 + $AI5*'Cancel Curves'!$AB$12 + $AJ5*'Cancel Curves'!$AA$12 + $AK5*'Cancel Curves'!$Z$12 + $AL5*'Cancel Curves'!$Y$12 + $AM5*'Cancel Curves'!$X$12 + $AN5*'Cancel Curves'!$W$12 + $AO5*'Cancel Curves'!$V$12 + $AP5*'Cancel Curves'!$U$12 + $AQ5*'Cancel Curves'!$T$12 + $AR5*'Cancel Curves'!$S$12 + $AS5*'Cancel Curves'!$R$12 + $AT5*'Cancel Curves'!$Q$12 + $AU5*'Cancel Curves'!$P$12 + $AV5*'Cancel Curves'!$O$12 + $AW5*'Cancel Curves'!$N$12 + $AX5*'Cancel Curves'!$M$12 + $AY5*'Cancel Curves'!$L$12 + $AZ5*'Cancel Curves'!$K$12 + $BA5*'Cancel Curves'!$J$12 + $BB5*'Cancel Curves'!$I$12 + $BC5*'Cancel Curves'!$H$12 + $BD5*'Cancel Curves'!$G$12 + $BE5*'Cancel Curves'!$F$12 + $BF5*'Cancel Curves'!$E$12 + $BG5*'Cancel Curves'!$D$12 + $BH5*'Cancel Curves'!$C$12 + $BI5*'Cancel Curves'!$B$12</f>
        <v/>
      </c>
      <c r="BJ6" s="26">
        <f>$AG5*'Cancel Curves'!$AE$12 + $AH5*'Cancel Curves'!$AD$12 + $AI5*'Cancel Curves'!$AC$12 + $AJ5*'Cancel Curves'!$AB$12 + $AK5*'Cancel Curves'!$AA$12 + $AL5*'Cancel Curves'!$Z$12 + $AM5*'Cancel Curves'!$Y$12 + $AN5*'Cancel Curves'!$X$12 + $AO5*'Cancel Curves'!$W$12 + $AP5*'Cancel Curves'!$V$12 + $AQ5*'Cancel Curves'!$U$12 + $AR5*'Cancel Curves'!$T$12 + $AS5*'Cancel Curves'!$S$12 + $AT5*'Cancel Curves'!$R$12 + $AU5*'Cancel Curves'!$Q$12 + $AV5*'Cancel Curves'!$P$12 + $AW5*'Cancel Curves'!$O$12 + $AX5*'Cancel Curves'!$N$12 + $AY5*'Cancel Curves'!$M$12 + $AZ5*'Cancel Curves'!$L$12 + $BA5*'Cancel Curves'!$K$12 + $BB5*'Cancel Curves'!$J$12 + $BC5*'Cancel Curves'!$I$12 + $BD5*'Cancel Curves'!$H$12 + $BE5*'Cancel Curves'!$G$12 + $BF5*'Cancel Curves'!$F$12 + $BG5*'Cancel Curves'!$E$12 + $BH5*'Cancel Curves'!$D$12 + $BI5*'Cancel Curves'!$C$12 + $BJ5*'Cancel Curves'!$B$12</f>
        <v/>
      </c>
      <c r="BK6" s="26">
        <f>$AH5*'Cancel Curves'!$AE$12 + $AI5*'Cancel Curves'!$AD$12 + $AJ5*'Cancel Curves'!$AC$12 + $AK5*'Cancel Curves'!$AB$12 + $AL5*'Cancel Curves'!$AA$12 + $AM5*'Cancel Curves'!$Z$12 + $AN5*'Cancel Curves'!$Y$12 + $AO5*'Cancel Curves'!$X$12 + $AP5*'Cancel Curves'!$W$12 + $AQ5*'Cancel Curves'!$V$12 + $AR5*'Cancel Curves'!$U$12 + $AS5*'Cancel Curves'!$T$12 + $AT5*'Cancel Curves'!$S$12 + $AU5*'Cancel Curves'!$R$12 + $AV5*'Cancel Curves'!$Q$12 + $AW5*'Cancel Curves'!$P$12 + $AX5*'Cancel Curves'!$O$12 + $AY5*'Cancel Curves'!$N$12 + $AZ5*'Cancel Curves'!$M$12 + $BA5*'Cancel Curves'!$L$12 + $BB5*'Cancel Curves'!$K$12 + $BC5*'Cancel Curves'!$J$12 + $BD5*'Cancel Curves'!$I$12 + $BE5*'Cancel Curves'!$H$12 + $BF5*'Cancel Curves'!$G$12 + $BG5*'Cancel Curves'!$F$12 + $BH5*'Cancel Curves'!$E$12 + $BI5*'Cancel Curves'!$D$12 + $BJ5*'Cancel Curves'!$C$12 + $BK5*'Cancel Curves'!$B$12</f>
        <v/>
      </c>
      <c r="BL6" s="26">
        <f>$AI5*'Cancel Curves'!$AE$12 + $AJ5*'Cancel Curves'!$AD$12 + $AK5*'Cancel Curves'!$AC$12 + $AL5*'Cancel Curves'!$AB$12 + $AM5*'Cancel Curves'!$AA$12 + $AN5*'Cancel Curves'!$Z$12 + $AO5*'Cancel Curves'!$Y$12 + $AP5*'Cancel Curves'!$X$12 + $AQ5*'Cancel Curves'!$W$12 + $AR5*'Cancel Curves'!$V$12 + $AS5*'Cancel Curves'!$U$12 + $AT5*'Cancel Curves'!$T$12 + $AU5*'Cancel Curves'!$S$12 + $AV5*'Cancel Curves'!$R$12 + $AW5*'Cancel Curves'!$Q$12 + $AX5*'Cancel Curves'!$P$12 + $AY5*'Cancel Curves'!$O$12 + $AZ5*'Cancel Curves'!$N$12 + $BA5*'Cancel Curves'!$M$12 + $BB5*'Cancel Curves'!$L$12 + $BC5*'Cancel Curves'!$K$12 + $BD5*'Cancel Curves'!$J$12 + $BE5*'Cancel Curves'!$I$12 + $BF5*'Cancel Curves'!$H$12 + $BG5*'Cancel Curves'!$G$12 + $BH5*'Cancel Curves'!$F$12 + $BI5*'Cancel Curves'!$E$12 + $BJ5*'Cancel Curves'!$D$12 + $BK5*'Cancel Curves'!$C$12 + $BL5*'Cancel Curves'!$B$12</f>
        <v/>
      </c>
      <c r="BM6" s="26">
        <f>$AJ5*'Cancel Curves'!$AE$12 + $AK5*'Cancel Curves'!$AD$12 + $AL5*'Cancel Curves'!$AC$12 + $AM5*'Cancel Curves'!$AB$12 + $AN5*'Cancel Curves'!$AA$12 + $AO5*'Cancel Curves'!$Z$12 + $AP5*'Cancel Curves'!$Y$12 + $AQ5*'Cancel Curves'!$X$12 + $AR5*'Cancel Curves'!$W$12 + $AS5*'Cancel Curves'!$V$12 + $AT5*'Cancel Curves'!$U$12 + $AU5*'Cancel Curves'!$T$12 + $AV5*'Cancel Curves'!$S$12 + $AW5*'Cancel Curves'!$R$12 + $AX5*'Cancel Curves'!$Q$12 + $AY5*'Cancel Curves'!$P$12 + $AZ5*'Cancel Curves'!$O$12 + $BA5*'Cancel Curves'!$N$12 + $BB5*'Cancel Curves'!$M$12 + $BC5*'Cancel Curves'!$L$12 + $BD5*'Cancel Curves'!$K$12 + $BE5*'Cancel Curves'!$J$12 + $BF5*'Cancel Curves'!$I$12 + $BG5*'Cancel Curves'!$H$12 + $BH5*'Cancel Curves'!$G$12 + $BI5*'Cancel Curves'!$F$12 + $BJ5*'Cancel Curves'!$E$12 + $BK5*'Cancel Curves'!$D$12 + $BL5*'Cancel Curves'!$C$12 + $BM5*'Cancel Curves'!$B$12</f>
        <v/>
      </c>
      <c r="BN6" s="26">
        <f>$AK5*'Cancel Curves'!$AE$12 + $AL5*'Cancel Curves'!$AD$12 + $AM5*'Cancel Curves'!$AC$12 + $AN5*'Cancel Curves'!$AB$12 + $AO5*'Cancel Curves'!$AA$12 + $AP5*'Cancel Curves'!$Z$12 + $AQ5*'Cancel Curves'!$Y$12 + $AR5*'Cancel Curves'!$X$12 + $AS5*'Cancel Curves'!$W$12 + $AT5*'Cancel Curves'!$V$12 + $AU5*'Cancel Curves'!$U$12 + $AV5*'Cancel Curves'!$T$12 + $AW5*'Cancel Curves'!$S$12 + $AX5*'Cancel Curves'!$R$12 + $AY5*'Cancel Curves'!$Q$12 + $AZ5*'Cancel Curves'!$P$12 + $BA5*'Cancel Curves'!$O$12 + $BB5*'Cancel Curves'!$N$12 + $BC5*'Cancel Curves'!$M$12 + $BD5*'Cancel Curves'!$L$12 + $BE5*'Cancel Curves'!$K$12 + $BF5*'Cancel Curves'!$J$12 + $BG5*'Cancel Curves'!$I$12 + $BH5*'Cancel Curves'!$H$12 + $BI5*'Cancel Curves'!$G$12 + $BJ5*'Cancel Curves'!$F$12 + $BK5*'Cancel Curves'!$E$12 + $BL5*'Cancel Curves'!$D$12 + $BM5*'Cancel Curves'!$C$12 + $BN5*'Cancel Curves'!$B$12</f>
        <v/>
      </c>
      <c r="BO6" s="26">
        <f>$AL5*'Cancel Curves'!$AE$12 + $AM5*'Cancel Curves'!$AD$12 + $AN5*'Cancel Curves'!$AC$12 + $AO5*'Cancel Curves'!$AB$12 + $AP5*'Cancel Curves'!$AA$12 + $AQ5*'Cancel Curves'!$Z$12 + $AR5*'Cancel Curves'!$Y$12 + $AS5*'Cancel Curves'!$X$12 + $AT5*'Cancel Curves'!$W$12 + $AU5*'Cancel Curves'!$V$12 + $AV5*'Cancel Curves'!$U$12 + $AW5*'Cancel Curves'!$T$12 + $AX5*'Cancel Curves'!$S$12 + $AY5*'Cancel Curves'!$R$12 + $AZ5*'Cancel Curves'!$Q$12 + $BA5*'Cancel Curves'!$P$12 + $BB5*'Cancel Curves'!$O$12 + $BC5*'Cancel Curves'!$N$12 + $BD5*'Cancel Curves'!$M$12 + $BE5*'Cancel Curves'!$L$12 + $BF5*'Cancel Curves'!$K$12 + $BG5*'Cancel Curves'!$J$12 + $BH5*'Cancel Curves'!$I$12 + $BI5*'Cancel Curves'!$H$12 + $BJ5*'Cancel Curves'!$G$12 + $BK5*'Cancel Curves'!$F$12 + $BL5*'Cancel Curves'!$E$12 + $BM5*'Cancel Curves'!$D$12 + $BN5*'Cancel Curves'!$C$12 + $BO5*'Cancel Curves'!$B$12</f>
        <v/>
      </c>
      <c r="BP6" s="26">
        <f>$AM5*'Cancel Curves'!$AE$12 + $AN5*'Cancel Curves'!$AD$12 + $AO5*'Cancel Curves'!$AC$12 + $AP5*'Cancel Curves'!$AB$12 + $AQ5*'Cancel Curves'!$AA$12 + $AR5*'Cancel Curves'!$Z$12 + $AS5*'Cancel Curves'!$Y$12 + $AT5*'Cancel Curves'!$X$12 + $AU5*'Cancel Curves'!$W$12 + $AV5*'Cancel Curves'!$V$12 + $AW5*'Cancel Curves'!$U$12 + $AX5*'Cancel Curves'!$T$12 + $AY5*'Cancel Curves'!$S$12 + $AZ5*'Cancel Curves'!$R$12 + $BA5*'Cancel Curves'!$Q$12 + $BB5*'Cancel Curves'!$P$12 + $BC5*'Cancel Curves'!$O$12 + $BD5*'Cancel Curves'!$N$12 + $BE5*'Cancel Curves'!$M$12 + $BF5*'Cancel Curves'!$L$12 + $BG5*'Cancel Curves'!$K$12 + $BH5*'Cancel Curves'!$J$12 + $BI5*'Cancel Curves'!$I$12 + $BJ5*'Cancel Curves'!$H$12 + $BK5*'Cancel Curves'!$G$12 + $BL5*'Cancel Curves'!$F$12 + $BM5*'Cancel Curves'!$E$12 + $BN5*'Cancel Curves'!$D$12 + $BO5*'Cancel Curves'!$C$12 + $BP5*'Cancel Curves'!$B$12</f>
        <v/>
      </c>
      <c r="BQ6" s="26">
        <f>$AN5*'Cancel Curves'!$AE$12 + $AO5*'Cancel Curves'!$AD$12 + $AP5*'Cancel Curves'!$AC$12 + $AQ5*'Cancel Curves'!$AB$12 + $AR5*'Cancel Curves'!$AA$12 + $AS5*'Cancel Curves'!$Z$12 + $AT5*'Cancel Curves'!$Y$12 + $AU5*'Cancel Curves'!$X$12 + $AV5*'Cancel Curves'!$W$12 + $AW5*'Cancel Curves'!$V$12 + $AX5*'Cancel Curves'!$U$12 + $AY5*'Cancel Curves'!$T$12 + $AZ5*'Cancel Curves'!$S$12 + $BA5*'Cancel Curves'!$R$12 + $BB5*'Cancel Curves'!$Q$12 + $BC5*'Cancel Curves'!$P$12 + $BD5*'Cancel Curves'!$O$12 + $BE5*'Cancel Curves'!$N$12 + $BF5*'Cancel Curves'!$M$12 + $BG5*'Cancel Curves'!$L$12 + $BH5*'Cancel Curves'!$K$12 + $BI5*'Cancel Curves'!$J$12 + $BJ5*'Cancel Curves'!$I$12 + $BK5*'Cancel Curves'!$H$12 + $BL5*'Cancel Curves'!$G$12 + $BM5*'Cancel Curves'!$F$12 + $BN5*'Cancel Curves'!$E$12 + $BO5*'Cancel Curves'!$D$12 + $BP5*'Cancel Curves'!$C$12 + $BQ5*'Cancel Curves'!$B$12</f>
        <v/>
      </c>
      <c r="BR6" s="26">
        <f>$AO5*'Cancel Curves'!$AE$12 + $AP5*'Cancel Curves'!$AD$12 + $AQ5*'Cancel Curves'!$AC$12 + $AR5*'Cancel Curves'!$AB$12 + $AS5*'Cancel Curves'!$AA$12 + $AT5*'Cancel Curves'!$Z$12 + $AU5*'Cancel Curves'!$Y$12 + $AV5*'Cancel Curves'!$X$12 + $AW5*'Cancel Curves'!$W$12 + $AX5*'Cancel Curves'!$V$12 + $AY5*'Cancel Curves'!$U$12 + $AZ5*'Cancel Curves'!$T$12 + $BA5*'Cancel Curves'!$S$12 + $BB5*'Cancel Curves'!$R$12 + $BC5*'Cancel Curves'!$Q$12 + $BD5*'Cancel Curves'!$P$12 + $BE5*'Cancel Curves'!$O$12 + $BF5*'Cancel Curves'!$N$12 + $BG5*'Cancel Curves'!$M$12 + $BH5*'Cancel Curves'!$L$12 + $BI5*'Cancel Curves'!$K$12 + $BJ5*'Cancel Curves'!$J$12 + $BK5*'Cancel Curves'!$I$12 + $BL5*'Cancel Curves'!$H$12 + $BM5*'Cancel Curves'!$G$12 + $BN5*'Cancel Curves'!$F$12 + $BO5*'Cancel Curves'!$E$12 + $BP5*'Cancel Curves'!$D$12 + $BQ5*'Cancel Curves'!$C$12 + $BR5*'Cancel Curves'!$B$12</f>
        <v/>
      </c>
      <c r="BS6" s="26">
        <f>$AP5*'Cancel Curves'!$AE$12 + $AQ5*'Cancel Curves'!$AD$12 + $AR5*'Cancel Curves'!$AC$12 + $AS5*'Cancel Curves'!$AB$12 + $AT5*'Cancel Curves'!$AA$12 + $AU5*'Cancel Curves'!$Z$12 + $AV5*'Cancel Curves'!$Y$12 + $AW5*'Cancel Curves'!$X$12 + $AX5*'Cancel Curves'!$W$12 + $AY5*'Cancel Curves'!$V$12 + $AZ5*'Cancel Curves'!$U$12 + $BA5*'Cancel Curves'!$T$12 + $BB5*'Cancel Curves'!$S$12 + $BC5*'Cancel Curves'!$R$12 + $BD5*'Cancel Curves'!$Q$12 + $BE5*'Cancel Curves'!$P$12 + $BF5*'Cancel Curves'!$O$12 + $BG5*'Cancel Curves'!$N$12 + $BH5*'Cancel Curves'!$M$12 + $BI5*'Cancel Curves'!$L$12 + $BJ5*'Cancel Curves'!$K$12 + $BK5*'Cancel Curves'!$J$12 + $BL5*'Cancel Curves'!$I$12 + $BM5*'Cancel Curves'!$H$12 + $BN5*'Cancel Curves'!$G$12 + $BO5*'Cancel Curves'!$F$12 + $BP5*'Cancel Curves'!$E$12 + $BQ5*'Cancel Curves'!$D$12 + $BR5*'Cancel Curves'!$C$12 + $BS5*'Cancel Curves'!$B$12</f>
        <v/>
      </c>
      <c r="BT6" s="26">
        <f>$AQ5*'Cancel Curves'!$AE$12 + $AR5*'Cancel Curves'!$AD$12 + $AS5*'Cancel Curves'!$AC$12 + $AT5*'Cancel Curves'!$AB$12 + $AU5*'Cancel Curves'!$AA$12 + $AV5*'Cancel Curves'!$Z$12 + $AW5*'Cancel Curves'!$Y$12 + $AX5*'Cancel Curves'!$X$12 + $AY5*'Cancel Curves'!$W$12 + $AZ5*'Cancel Curves'!$V$12 + $BA5*'Cancel Curves'!$U$12 + $BB5*'Cancel Curves'!$T$12 + $BC5*'Cancel Curves'!$S$12 + $BD5*'Cancel Curves'!$R$12 + $BE5*'Cancel Curves'!$Q$12 + $BF5*'Cancel Curves'!$P$12 + $BG5*'Cancel Curves'!$O$12 + $BH5*'Cancel Curves'!$N$12 + $BI5*'Cancel Curves'!$M$12 + $BJ5*'Cancel Curves'!$L$12 + $BK5*'Cancel Curves'!$K$12 + $BL5*'Cancel Curves'!$J$12 + $BM5*'Cancel Curves'!$I$12 + $BN5*'Cancel Curves'!$H$12 + $BO5*'Cancel Curves'!$G$12 + $BP5*'Cancel Curves'!$F$12 + $BQ5*'Cancel Curves'!$E$12 + $BR5*'Cancel Curves'!$D$12 + $BS5*'Cancel Curves'!$C$12 + $BT5*'Cancel Curves'!$B$12</f>
        <v/>
      </c>
      <c r="BU6" s="26">
        <f>$AR5*'Cancel Curves'!$AE$12 + $AS5*'Cancel Curves'!$AD$12 + $AT5*'Cancel Curves'!$AC$12 + $AU5*'Cancel Curves'!$AB$12 + $AV5*'Cancel Curves'!$AA$12 + $AW5*'Cancel Curves'!$Z$12 + $AX5*'Cancel Curves'!$Y$12 + $AY5*'Cancel Curves'!$X$12 + $AZ5*'Cancel Curves'!$W$12 + $BA5*'Cancel Curves'!$V$12 + $BB5*'Cancel Curves'!$U$12 + $BC5*'Cancel Curves'!$T$12 + $BD5*'Cancel Curves'!$S$12 + $BE5*'Cancel Curves'!$R$12 + $BF5*'Cancel Curves'!$Q$12 + $BG5*'Cancel Curves'!$P$12 + $BH5*'Cancel Curves'!$O$12 + $BI5*'Cancel Curves'!$N$12 + $BJ5*'Cancel Curves'!$M$12 + $BK5*'Cancel Curves'!$L$12 + $BL5*'Cancel Curves'!$K$12 + $BM5*'Cancel Curves'!$J$12 + $BN5*'Cancel Curves'!$I$12 + $BO5*'Cancel Curves'!$H$12 + $BP5*'Cancel Curves'!$G$12 + $BQ5*'Cancel Curves'!$F$12 + $BR5*'Cancel Curves'!$E$12 + $BS5*'Cancel Curves'!$D$12 + $BT5*'Cancel Curves'!$C$12 + $BU5*'Cancel Curves'!$B$12</f>
        <v/>
      </c>
      <c r="BV6" s="26">
        <f>$AS5*'Cancel Curves'!$AE$12 + $AT5*'Cancel Curves'!$AD$12 + $AU5*'Cancel Curves'!$AC$12 + $AV5*'Cancel Curves'!$AB$12 + $AW5*'Cancel Curves'!$AA$12 + $AX5*'Cancel Curves'!$Z$12 + $AY5*'Cancel Curves'!$Y$12 + $AZ5*'Cancel Curves'!$X$12 + $BA5*'Cancel Curves'!$W$12 + $BB5*'Cancel Curves'!$V$12 + $BC5*'Cancel Curves'!$U$12 + $BD5*'Cancel Curves'!$T$12 + $BE5*'Cancel Curves'!$S$12 + $BF5*'Cancel Curves'!$R$12 + $BG5*'Cancel Curves'!$Q$12 + $BH5*'Cancel Curves'!$P$12 + $BI5*'Cancel Curves'!$O$12 + $BJ5*'Cancel Curves'!$N$12 + $BK5*'Cancel Curves'!$M$12 + $BL5*'Cancel Curves'!$L$12 + $BM5*'Cancel Curves'!$K$12 + $BN5*'Cancel Curves'!$J$12 + $BO5*'Cancel Curves'!$I$12 + $BP5*'Cancel Curves'!$H$12 + $BQ5*'Cancel Curves'!$G$12 + $BR5*'Cancel Curves'!$F$12 + $BS5*'Cancel Curves'!$E$12 + $BT5*'Cancel Curves'!$D$12 + $BU5*'Cancel Curves'!$C$12 + $BV5*'Cancel Curves'!$B$12</f>
        <v/>
      </c>
      <c r="BW6" s="26">
        <f>$AT5*'Cancel Curves'!$AE$12 + $AU5*'Cancel Curves'!$AD$12 + $AV5*'Cancel Curves'!$AC$12 + $AW5*'Cancel Curves'!$AB$12 + $AX5*'Cancel Curves'!$AA$12 + $AY5*'Cancel Curves'!$Z$12 + $AZ5*'Cancel Curves'!$Y$12 + $BA5*'Cancel Curves'!$X$12 + $BB5*'Cancel Curves'!$W$12 + $BC5*'Cancel Curves'!$V$12 + $BD5*'Cancel Curves'!$U$12 + $BE5*'Cancel Curves'!$T$12 + $BF5*'Cancel Curves'!$S$12 + $BG5*'Cancel Curves'!$R$12 + $BH5*'Cancel Curves'!$Q$12 + $BI5*'Cancel Curves'!$P$12 + $BJ5*'Cancel Curves'!$O$12 + $BK5*'Cancel Curves'!$N$12 + $BL5*'Cancel Curves'!$M$12 + $BM5*'Cancel Curves'!$L$12 + $BN5*'Cancel Curves'!$K$12 + $BO5*'Cancel Curves'!$J$12 + $BP5*'Cancel Curves'!$I$12 + $BQ5*'Cancel Curves'!$H$12 + $BR5*'Cancel Curves'!$G$12 + $BS5*'Cancel Curves'!$F$12 + $BT5*'Cancel Curves'!$E$12 + $BU5*'Cancel Curves'!$D$12 + $BV5*'Cancel Curves'!$C$12 + $BW5*'Cancel Curves'!$B$12</f>
        <v/>
      </c>
    </row>
    <row r="7">
      <c r="A7" s="1" t="inlineStr">
        <is>
          <t>Active contracts (start of period)</t>
        </is>
      </c>
      <c r="C7" s="15" t="n">
        <v>12000</v>
      </c>
    </row>
    <row r="8">
      <c r="A8" s="1" t="inlineStr">
        <is>
          <t>Cancels (period)</t>
        </is>
      </c>
      <c r="D8" s="26">
        <f>C6+D5-D6</f>
        <v/>
      </c>
      <c r="E8" s="26">
        <f>D6+E5-E6</f>
        <v/>
      </c>
      <c r="F8" s="26">
        <f>E6+F5-F6</f>
        <v/>
      </c>
      <c r="G8" s="26">
        <f>F6+G5-G6</f>
        <v/>
      </c>
      <c r="H8" s="26">
        <f>G6+H5-H6</f>
        <v/>
      </c>
      <c r="I8" s="26">
        <f>H6+I5-I6</f>
        <v/>
      </c>
      <c r="J8" s="26">
        <f>I6+J5-J6</f>
        <v/>
      </c>
      <c r="K8" s="26">
        <f>J6+K5-K6</f>
        <v/>
      </c>
      <c r="L8" s="26">
        <f>K6+L5-L6</f>
        <v/>
      </c>
      <c r="M8" s="26">
        <f>L6+M5-M6</f>
        <v/>
      </c>
      <c r="N8" s="26">
        <f>M6+N5-N6</f>
        <v/>
      </c>
      <c r="O8" s="26">
        <f>N6+O5-O6</f>
        <v/>
      </c>
      <c r="P8" s="26">
        <f>O6+P5-P6</f>
        <v/>
      </c>
      <c r="Q8" s="26">
        <f>P6+Q5-Q6</f>
        <v/>
      </c>
      <c r="R8" s="26">
        <f>Q6+R5-R6</f>
        <v/>
      </c>
      <c r="S8" s="26">
        <f>R6+S5-S6</f>
        <v/>
      </c>
      <c r="T8" s="26">
        <f>S6+T5-T6</f>
        <v/>
      </c>
      <c r="U8" s="26">
        <f>T6+U5-U6</f>
        <v/>
      </c>
      <c r="V8" s="26">
        <f>U6+V5-V6</f>
        <v/>
      </c>
      <c r="W8" s="26">
        <f>V6+W5-W6</f>
        <v/>
      </c>
      <c r="X8" s="26">
        <f>W6+X5-X6</f>
        <v/>
      </c>
      <c r="Y8" s="26">
        <f>X6+Y5-Y6</f>
        <v/>
      </c>
      <c r="Z8" s="26">
        <f>Y6+Z5-Z6</f>
        <v/>
      </c>
      <c r="AA8" s="26">
        <f>Z6+AA5-AA6</f>
        <v/>
      </c>
      <c r="AB8" s="26">
        <f>AA6+AB5-AB6</f>
        <v/>
      </c>
      <c r="AC8" s="26">
        <f>AB6+AC5-AC6</f>
        <v/>
      </c>
      <c r="AD8" s="26">
        <f>AC6+AD5-AD6</f>
        <v/>
      </c>
      <c r="AE8" s="26">
        <f>AD6+AE5-AE6</f>
        <v/>
      </c>
      <c r="AF8" s="26">
        <f>AE6+AF5-AF6</f>
        <v/>
      </c>
      <c r="AG8" s="26">
        <f>AF6+AG5-AG6</f>
        <v/>
      </c>
      <c r="AH8" s="26">
        <f>AG6+AH5-AH6</f>
        <v/>
      </c>
      <c r="AI8" s="26">
        <f>AH6+AI5-AI6</f>
        <v/>
      </c>
      <c r="AJ8" s="26">
        <f>AI6+AJ5-AJ6</f>
        <v/>
      </c>
      <c r="AK8" s="26">
        <f>AJ6+AK5-AK6</f>
        <v/>
      </c>
      <c r="AL8" s="26">
        <f>AK6+AL5-AL6</f>
        <v/>
      </c>
      <c r="AM8" s="26">
        <f>AL6+AM5-AM6</f>
        <v/>
      </c>
      <c r="AN8" s="26">
        <f>AM6+AN5-AN6</f>
        <v/>
      </c>
      <c r="AO8" s="26">
        <f>AN6+AO5-AO6</f>
        <v/>
      </c>
      <c r="AP8" s="26">
        <f>AO6+AP5-AP6</f>
        <v/>
      </c>
      <c r="AQ8" s="26">
        <f>AP6+AQ5-AQ6</f>
        <v/>
      </c>
      <c r="AR8" s="26">
        <f>AQ6+AR5-AR6</f>
        <v/>
      </c>
      <c r="AS8" s="26">
        <f>AR6+AS5-AS6</f>
        <v/>
      </c>
      <c r="AT8" s="26">
        <f>AS6+AT5-AT6</f>
        <v/>
      </c>
      <c r="AU8" s="26">
        <f>AT6+AU5-AU6</f>
        <v/>
      </c>
      <c r="AV8" s="26">
        <f>AU6+AV5-AV6</f>
        <v/>
      </c>
      <c r="AW8" s="26">
        <f>AV6+AW5-AW6</f>
        <v/>
      </c>
      <c r="AX8" s="26">
        <f>AW6+AX5-AX6</f>
        <v/>
      </c>
      <c r="AY8" s="26">
        <f>AX6+AY5-AY6</f>
        <v/>
      </c>
      <c r="AZ8" s="26">
        <f>AY6+AZ5-AZ6</f>
        <v/>
      </c>
      <c r="BA8" s="26">
        <f>AZ6+BA5-BA6</f>
        <v/>
      </c>
      <c r="BB8" s="26">
        <f>BA6+BB5-BB6</f>
        <v/>
      </c>
      <c r="BC8" s="26">
        <f>BB6+BC5-BC6</f>
        <v/>
      </c>
      <c r="BD8" s="26">
        <f>BC6+BD5-BD6</f>
        <v/>
      </c>
      <c r="BE8" s="26">
        <f>BD6+BE5-BE6</f>
        <v/>
      </c>
      <c r="BF8" s="26">
        <f>BE6+BF5-BF6</f>
        <v/>
      </c>
      <c r="BG8" s="26">
        <f>BF6+BG5-BG6</f>
        <v/>
      </c>
      <c r="BH8" s="26">
        <f>BG6+BH5-BH6</f>
        <v/>
      </c>
      <c r="BI8" s="26">
        <f>BH6+BI5-BI6</f>
        <v/>
      </c>
      <c r="BJ8" s="26">
        <f>BI6+BJ5-BJ6</f>
        <v/>
      </c>
      <c r="BK8" s="26">
        <f>BJ6+BK5-BK6</f>
        <v/>
      </c>
      <c r="BL8" s="26">
        <f>BK6+BL5-BL6</f>
        <v/>
      </c>
      <c r="BM8" s="26">
        <f>BL6+BM5-BM6</f>
        <v/>
      </c>
      <c r="BN8" s="26">
        <f>BM6+BN5-BN6</f>
        <v/>
      </c>
      <c r="BO8" s="26">
        <f>BN6+BO5-BO6</f>
        <v/>
      </c>
      <c r="BP8" s="26">
        <f>BO6+BP5-BP6</f>
        <v/>
      </c>
      <c r="BQ8" s="26">
        <f>BP6+BQ5-BQ6</f>
        <v/>
      </c>
      <c r="BR8" s="26">
        <f>BQ6+BR5-BR6</f>
        <v/>
      </c>
      <c r="BS8" s="26">
        <f>BR6+BS5-BS6</f>
        <v/>
      </c>
      <c r="BT8" s="26">
        <f>BS6+BT5-BT6</f>
        <v/>
      </c>
      <c r="BU8" s="26">
        <f>BT6+BU5-BU6</f>
        <v/>
      </c>
      <c r="BV8" s="26">
        <f>BU6+BV5-BV6</f>
        <v/>
      </c>
      <c r="BW8" s="26">
        <f>BV6+BW5-BW6</f>
        <v/>
      </c>
    </row>
    <row r="10">
      <c r="A10" s="97" t="inlineStr">
        <is>
          <t>REVENUE</t>
        </is>
      </c>
    </row>
    <row r="11">
      <c r="A11" s="1" t="inlineStr">
        <is>
          <t>Monthly contract value (active × CPS)</t>
        </is>
      </c>
    </row>
    <row r="12">
      <c r="A12" t="inlineStr">
        <is>
          <t xml:space="preserve">  CPS (customer payment per service)</t>
        </is>
      </c>
      <c r="D12" s="27">
        <f>Assumptions!$B$17*(1+Assumptions!$B$9)^0</f>
        <v/>
      </c>
      <c r="E12" s="27">
        <f>Assumptions!$B$17*(1+Assumptions!$B$9)^0</f>
        <v/>
      </c>
      <c r="F12" s="27">
        <f>Assumptions!$B$17*(1+Assumptions!$B$9)^0</f>
        <v/>
      </c>
      <c r="G12" s="27">
        <f>Assumptions!$B$17*(1+Assumptions!$B$9)^0</f>
        <v/>
      </c>
      <c r="H12" s="27">
        <f>Assumptions!$B$17*(1+Assumptions!$B$9)^0</f>
        <v/>
      </c>
      <c r="I12" s="27">
        <f>Assumptions!$B$17*(1+Assumptions!$B$9)^0</f>
        <v/>
      </c>
      <c r="J12" s="27">
        <f>Assumptions!$B$17*(1+Assumptions!$B$9)^0</f>
        <v/>
      </c>
      <c r="K12" s="27">
        <f>Assumptions!$B$17*(1+Assumptions!$B$9)^0</f>
        <v/>
      </c>
      <c r="L12" s="27">
        <f>Assumptions!$B$17*(1+Assumptions!$B$9)^0</f>
        <v/>
      </c>
      <c r="M12" s="27">
        <f>Assumptions!$B$17*(1+Assumptions!$B$9)^0</f>
        <v/>
      </c>
      <c r="N12" s="27">
        <f>Assumptions!$B$17*(1+Assumptions!$B$9)^0</f>
        <v/>
      </c>
      <c r="O12" s="27">
        <f>Assumptions!$B$17*(1+Assumptions!$B$9)^0</f>
        <v/>
      </c>
      <c r="P12" s="27">
        <f>Assumptions!$B$17*(1+Assumptions!$B$9)^1</f>
        <v/>
      </c>
      <c r="Q12" s="27">
        <f>Assumptions!$B$17*(1+Assumptions!$B$9)^1</f>
        <v/>
      </c>
      <c r="R12" s="27">
        <f>Assumptions!$B$17*(1+Assumptions!$B$9)^1</f>
        <v/>
      </c>
      <c r="S12" s="27">
        <f>Assumptions!$B$17*(1+Assumptions!$B$9)^1</f>
        <v/>
      </c>
      <c r="T12" s="27">
        <f>Assumptions!$B$17*(1+Assumptions!$B$9)^1</f>
        <v/>
      </c>
      <c r="U12" s="27">
        <f>Assumptions!$B$17*(1+Assumptions!$B$9)^1</f>
        <v/>
      </c>
      <c r="V12" s="27">
        <f>Assumptions!$B$17*(1+Assumptions!$B$9)^1</f>
        <v/>
      </c>
      <c r="W12" s="27">
        <f>Assumptions!$B$17*(1+Assumptions!$B$9)^1</f>
        <v/>
      </c>
      <c r="X12" s="27">
        <f>Assumptions!$B$17*(1+Assumptions!$B$9)^1</f>
        <v/>
      </c>
      <c r="Y12" s="27">
        <f>Assumptions!$B$17*(1+Assumptions!$B$9)^1</f>
        <v/>
      </c>
      <c r="Z12" s="27">
        <f>Assumptions!$B$17*(1+Assumptions!$B$9)^1</f>
        <v/>
      </c>
      <c r="AA12" s="27">
        <f>Assumptions!$B$17*(1+Assumptions!$B$9)^1</f>
        <v/>
      </c>
      <c r="AB12" s="27">
        <f>Assumptions!$B$17*(1+Assumptions!$B$9)^2</f>
        <v/>
      </c>
      <c r="AC12" s="27">
        <f>Assumptions!$B$17*(1+Assumptions!$B$9)^2</f>
        <v/>
      </c>
      <c r="AD12" s="27">
        <f>Assumptions!$B$17*(1+Assumptions!$B$9)^2</f>
        <v/>
      </c>
      <c r="AE12" s="27">
        <f>Assumptions!$B$17*(1+Assumptions!$B$9)^2</f>
        <v/>
      </c>
      <c r="AF12" s="27">
        <f>Assumptions!$B$17*(1+Assumptions!$B$9)^2</f>
        <v/>
      </c>
      <c r="AG12" s="27">
        <f>Assumptions!$B$17*(1+Assumptions!$B$9)^2</f>
        <v/>
      </c>
      <c r="AH12" s="27">
        <f>Assumptions!$B$17*(1+Assumptions!$B$9)^2</f>
        <v/>
      </c>
      <c r="AI12" s="27">
        <f>Assumptions!$B$17*(1+Assumptions!$B$9)^2</f>
        <v/>
      </c>
      <c r="AJ12" s="27">
        <f>Assumptions!$B$17*(1+Assumptions!$B$9)^2</f>
        <v/>
      </c>
      <c r="AK12" s="27">
        <f>Assumptions!$B$17*(1+Assumptions!$B$9)^2</f>
        <v/>
      </c>
      <c r="AL12" s="27">
        <f>Assumptions!$B$17*(1+Assumptions!$B$9)^2</f>
        <v/>
      </c>
      <c r="AM12" s="27">
        <f>Assumptions!$B$17*(1+Assumptions!$B$9)^2</f>
        <v/>
      </c>
      <c r="AN12" s="27">
        <f>Assumptions!$B$17*(1+Assumptions!$B$9)^3</f>
        <v/>
      </c>
      <c r="AO12" s="27">
        <f>Assumptions!$B$17*(1+Assumptions!$B$9)^3</f>
        <v/>
      </c>
      <c r="AP12" s="27">
        <f>Assumptions!$B$17*(1+Assumptions!$B$9)^3</f>
        <v/>
      </c>
      <c r="AQ12" s="27">
        <f>Assumptions!$B$17*(1+Assumptions!$B$9)^3</f>
        <v/>
      </c>
      <c r="AR12" s="27">
        <f>Assumptions!$B$17*(1+Assumptions!$B$9)^3</f>
        <v/>
      </c>
      <c r="AS12" s="27">
        <f>Assumptions!$B$17*(1+Assumptions!$B$9)^3</f>
        <v/>
      </c>
      <c r="AT12" s="27">
        <f>Assumptions!$B$17*(1+Assumptions!$B$9)^3</f>
        <v/>
      </c>
      <c r="AU12" s="27">
        <f>Assumptions!$B$17*(1+Assumptions!$B$9)^3</f>
        <v/>
      </c>
      <c r="AV12" s="27">
        <f>Assumptions!$B$17*(1+Assumptions!$B$9)^3</f>
        <v/>
      </c>
      <c r="AW12" s="27">
        <f>Assumptions!$B$17*(1+Assumptions!$B$9)^3</f>
        <v/>
      </c>
      <c r="AX12" s="27">
        <f>Assumptions!$B$17*(1+Assumptions!$B$9)^3</f>
        <v/>
      </c>
      <c r="AY12" s="27">
        <f>Assumptions!$B$17*(1+Assumptions!$B$9)^3</f>
        <v/>
      </c>
      <c r="AZ12" s="27">
        <f>Assumptions!$B$17*(1+Assumptions!$B$9)^4</f>
        <v/>
      </c>
      <c r="BA12" s="27">
        <f>Assumptions!$B$17*(1+Assumptions!$B$9)^4</f>
        <v/>
      </c>
      <c r="BB12" s="27">
        <f>Assumptions!$B$17*(1+Assumptions!$B$9)^4</f>
        <v/>
      </c>
      <c r="BC12" s="27">
        <f>Assumptions!$B$17*(1+Assumptions!$B$9)^4</f>
        <v/>
      </c>
      <c r="BD12" s="27">
        <f>Assumptions!$B$17*(1+Assumptions!$B$9)^4</f>
        <v/>
      </c>
      <c r="BE12" s="27">
        <f>Assumptions!$B$17*(1+Assumptions!$B$9)^4</f>
        <v/>
      </c>
      <c r="BF12" s="27">
        <f>Assumptions!$B$17*(1+Assumptions!$B$9)^4</f>
        <v/>
      </c>
      <c r="BG12" s="27">
        <f>Assumptions!$B$17*(1+Assumptions!$B$9)^4</f>
        <v/>
      </c>
      <c r="BH12" s="27">
        <f>Assumptions!$B$17*(1+Assumptions!$B$9)^4</f>
        <v/>
      </c>
      <c r="BI12" s="27">
        <f>Assumptions!$B$17*(1+Assumptions!$B$9)^4</f>
        <v/>
      </c>
      <c r="BJ12" s="27">
        <f>Assumptions!$B$17*(1+Assumptions!$B$9)^4</f>
        <v/>
      </c>
      <c r="BK12" s="27">
        <f>Assumptions!$B$17*(1+Assumptions!$B$9)^4</f>
        <v/>
      </c>
      <c r="BL12" s="27">
        <f>Assumptions!$B$17*(1+Assumptions!$B$9)^5</f>
        <v/>
      </c>
      <c r="BM12" s="27">
        <f>Assumptions!$B$17*(1+Assumptions!$B$9)^5</f>
        <v/>
      </c>
      <c r="BN12" s="27">
        <f>Assumptions!$B$17*(1+Assumptions!$B$9)^5</f>
        <v/>
      </c>
      <c r="BO12" s="27">
        <f>Assumptions!$B$17*(1+Assumptions!$B$9)^5</f>
        <v/>
      </c>
      <c r="BP12" s="27">
        <f>Assumptions!$B$17*(1+Assumptions!$B$9)^5</f>
        <v/>
      </c>
      <c r="BQ12" s="27">
        <f>Assumptions!$B$17*(1+Assumptions!$B$9)^5</f>
        <v/>
      </c>
      <c r="BR12" s="27">
        <f>Assumptions!$B$17*(1+Assumptions!$B$9)^5</f>
        <v/>
      </c>
      <c r="BS12" s="27">
        <f>Assumptions!$B$17*(1+Assumptions!$B$9)^5</f>
        <v/>
      </c>
      <c r="BT12" s="27">
        <f>Assumptions!$B$17*(1+Assumptions!$B$9)^5</f>
        <v/>
      </c>
      <c r="BU12" s="27">
        <f>Assumptions!$B$17*(1+Assumptions!$B$9)^5</f>
        <v/>
      </c>
      <c r="BV12" s="27">
        <f>Assumptions!$B$17*(1+Assumptions!$B$9)^5</f>
        <v/>
      </c>
      <c r="BW12" s="27">
        <f>Assumptions!$B$17*(1+Assumptions!$B$9)^5</f>
        <v/>
      </c>
    </row>
    <row r="13">
      <c r="A13" s="87" t="inlineStr">
        <is>
          <t>Subscription revenue (CPS + IAA amort.)</t>
        </is>
      </c>
      <c r="D13" s="77">
        <f>D6*D12 + ($D$5*'Cancel Curves'!$B$12 + 2294*'Cancel Curves'!$M$12 + 1986*'Cancel Curves'!$L$12 + 2149*'Cancel Curves'!$K$12 + 1517*'Cancel Curves'!$J$12 + 1564*'Cancel Curves'!$I$12 + 1705*'Cancel Curves'!$H$12 + 1902*'Cancel Curves'!$G$12 + 2052*'Cancel Curves'!$F$12 + 2362*'Cancel Curves'!$E$12 + 2189*'Cancel Curves'!$D$12 + 2083*'Cancel Curves'!$C$12)*Assumptions!$B$76</f>
        <v/>
      </c>
      <c r="E13" s="77">
        <f>E6*E12 + ($D$5*'Cancel Curves'!$C$12 + $E$5*'Cancel Curves'!$B$12 + 1986*'Cancel Curves'!$M$12 + 2149*'Cancel Curves'!$L$12 + 1517*'Cancel Curves'!$K$12 + 1564*'Cancel Curves'!$J$12 + 1705*'Cancel Curves'!$I$12 + 1902*'Cancel Curves'!$H$12 + 2052*'Cancel Curves'!$G$12 + 2362*'Cancel Curves'!$F$12 + 2189*'Cancel Curves'!$E$12 + 2083*'Cancel Curves'!$D$12)*Assumptions!$B$76</f>
        <v/>
      </c>
      <c r="F13" s="77">
        <f>F6*F12 + ($D$5*'Cancel Curves'!$D$12 + $E$5*'Cancel Curves'!$C$12 + $F$5*'Cancel Curves'!$B$12 + 2149*'Cancel Curves'!$M$12 + 1517*'Cancel Curves'!$L$12 + 1564*'Cancel Curves'!$K$12 + 1705*'Cancel Curves'!$J$12 + 1902*'Cancel Curves'!$I$12 + 2052*'Cancel Curves'!$H$12 + 2362*'Cancel Curves'!$G$12 + 2189*'Cancel Curves'!$F$12 + 2083*'Cancel Curves'!$E$12)*Assumptions!$B$76</f>
        <v/>
      </c>
      <c r="G13" s="77">
        <f>G6*G12 + ($D$5*'Cancel Curves'!$E$12 + $E$5*'Cancel Curves'!$D$12 + $F$5*'Cancel Curves'!$C$12 + $G$5*'Cancel Curves'!$B$12 + 1517*'Cancel Curves'!$M$12 + 1564*'Cancel Curves'!$L$12 + 1705*'Cancel Curves'!$K$12 + 1902*'Cancel Curves'!$J$12 + 2052*'Cancel Curves'!$I$12 + 2362*'Cancel Curves'!$H$12 + 2189*'Cancel Curves'!$G$12 + 2083*'Cancel Curves'!$F$12)*Assumptions!$B$76</f>
        <v/>
      </c>
      <c r="H13" s="77">
        <f>H6*H12 + ($D$5*'Cancel Curves'!$F$12 + $E$5*'Cancel Curves'!$E$12 + $F$5*'Cancel Curves'!$D$12 + $G$5*'Cancel Curves'!$C$12 + $H$5*'Cancel Curves'!$B$12 + 1564*'Cancel Curves'!$M$12 + 1705*'Cancel Curves'!$L$12 + 1902*'Cancel Curves'!$K$12 + 2052*'Cancel Curves'!$J$12 + 2362*'Cancel Curves'!$I$12 + 2189*'Cancel Curves'!$H$12 + 2083*'Cancel Curves'!$G$12)*Assumptions!$B$76</f>
        <v/>
      </c>
      <c r="I13" s="77">
        <f>I6*I12 + ($D$5*'Cancel Curves'!$G$12 + $E$5*'Cancel Curves'!$F$12 + $F$5*'Cancel Curves'!$E$12 + $G$5*'Cancel Curves'!$D$12 + $H$5*'Cancel Curves'!$C$12 + $I$5*'Cancel Curves'!$B$12 + 1705*'Cancel Curves'!$M$12 + 1902*'Cancel Curves'!$L$12 + 2052*'Cancel Curves'!$K$12 + 2362*'Cancel Curves'!$J$12 + 2189*'Cancel Curves'!$I$12 + 2083*'Cancel Curves'!$H$12)*Assumptions!$B$76</f>
        <v/>
      </c>
      <c r="J13" s="77">
        <f>J6*J12 + ($D$5*'Cancel Curves'!$H$12 + $E$5*'Cancel Curves'!$G$12 + $F$5*'Cancel Curves'!$F$12 + $G$5*'Cancel Curves'!$E$12 + $H$5*'Cancel Curves'!$D$12 + $I$5*'Cancel Curves'!$C$12 + $J$5*'Cancel Curves'!$B$12 + 1902*'Cancel Curves'!$M$12 + 2052*'Cancel Curves'!$L$12 + 2362*'Cancel Curves'!$K$12 + 2189*'Cancel Curves'!$J$12 + 2083*'Cancel Curves'!$I$12)*Assumptions!$B$76</f>
        <v/>
      </c>
      <c r="K13" s="77">
        <f>K6*K12 + ($D$5*'Cancel Curves'!$I$12 + $E$5*'Cancel Curves'!$H$12 + $F$5*'Cancel Curves'!$G$12 + $G$5*'Cancel Curves'!$F$12 + $H$5*'Cancel Curves'!$E$12 + $I$5*'Cancel Curves'!$D$12 + $J$5*'Cancel Curves'!$C$12 + $K$5*'Cancel Curves'!$B$12 + 2052*'Cancel Curves'!$M$12 + 2362*'Cancel Curves'!$L$12 + 2189*'Cancel Curves'!$K$12 + 2083*'Cancel Curves'!$J$12)*Assumptions!$B$76</f>
        <v/>
      </c>
      <c r="L13" s="77">
        <f>L6*L12 + ($D$5*'Cancel Curves'!$J$12 + $E$5*'Cancel Curves'!$I$12 + $F$5*'Cancel Curves'!$H$12 + $G$5*'Cancel Curves'!$G$12 + $H$5*'Cancel Curves'!$F$12 + $I$5*'Cancel Curves'!$E$12 + $J$5*'Cancel Curves'!$D$12 + $K$5*'Cancel Curves'!$C$12 + $L$5*'Cancel Curves'!$B$12 + 2362*'Cancel Curves'!$M$12 + 2189*'Cancel Curves'!$L$12 + 2083*'Cancel Curves'!$K$12)*Assumptions!$B$76</f>
        <v/>
      </c>
      <c r="M13" s="77">
        <f>M6*M12 + ($D$5*'Cancel Curves'!$K$12 + $E$5*'Cancel Curves'!$J$12 + $F$5*'Cancel Curves'!$I$12 + $G$5*'Cancel Curves'!$H$12 + $H$5*'Cancel Curves'!$G$12 + $I$5*'Cancel Curves'!$F$12 + $J$5*'Cancel Curves'!$E$12 + $K$5*'Cancel Curves'!$D$12 + $L$5*'Cancel Curves'!$C$12 + $M$5*'Cancel Curves'!$B$12 + 2189*'Cancel Curves'!$M$12 + 2083*'Cancel Curves'!$L$12)*Assumptions!$B$76</f>
        <v/>
      </c>
      <c r="N13" s="77">
        <f>N6*N12 + ($D$5*'Cancel Curves'!$L$12 + $E$5*'Cancel Curves'!$K$12 + $F$5*'Cancel Curves'!$J$12 + $G$5*'Cancel Curves'!$I$12 + $H$5*'Cancel Curves'!$H$12 + $I$5*'Cancel Curves'!$G$12 + $J$5*'Cancel Curves'!$F$12 + $K$5*'Cancel Curves'!$E$12 + $L$5*'Cancel Curves'!$D$12 + $M$5*'Cancel Curves'!$C$12 + $N$5*'Cancel Curves'!$B$12 + 2083*'Cancel Curves'!$M$12)*Assumptions!$B$76</f>
        <v/>
      </c>
      <c r="O13" s="77">
        <f>O6*O12 + ($D$5*'Cancel Curves'!$M$12 + $E$5*'Cancel Curves'!$L$12 + $F$5*'Cancel Curves'!$K$12 + $G$5*'Cancel Curves'!$J$12 + $H$5*'Cancel Curves'!$I$12 + $I$5*'Cancel Curves'!$H$12 + $J$5*'Cancel Curves'!$G$12 + $K$5*'Cancel Curves'!$F$12 + $L$5*'Cancel Curves'!$E$12 + $M$5*'Cancel Curves'!$D$12 + $N$5*'Cancel Curves'!$C$12 + $O$5*'Cancel Curves'!$B$12)*Assumptions!$B$76</f>
        <v/>
      </c>
      <c r="P13" s="77">
        <f>P6*P12 + ($E$5*'Cancel Curves'!$M$12 + $F$5*'Cancel Curves'!$L$12 + $G$5*'Cancel Curves'!$K$12 + $H$5*'Cancel Curves'!$J$12 + $I$5*'Cancel Curves'!$I$12 + $J$5*'Cancel Curves'!$H$12 + $K$5*'Cancel Curves'!$G$12 + $L$5*'Cancel Curves'!$F$12 + $M$5*'Cancel Curves'!$E$12 + $N$5*'Cancel Curves'!$D$12 + $O$5*'Cancel Curves'!$C$12 + $P$5*'Cancel Curves'!$B$12)*Assumptions!$B$76</f>
        <v/>
      </c>
      <c r="Q13" s="77">
        <f>Q6*Q12 + ($F$5*'Cancel Curves'!$M$12 + $G$5*'Cancel Curves'!$L$12 + $H$5*'Cancel Curves'!$K$12 + $I$5*'Cancel Curves'!$J$12 + $J$5*'Cancel Curves'!$I$12 + $K$5*'Cancel Curves'!$H$12 + $L$5*'Cancel Curves'!$G$12 + $M$5*'Cancel Curves'!$F$12 + $N$5*'Cancel Curves'!$E$12 + $O$5*'Cancel Curves'!$D$12 + $P$5*'Cancel Curves'!$C$12 + $Q$5*'Cancel Curves'!$B$12)*Assumptions!$B$76</f>
        <v/>
      </c>
      <c r="R13" s="77">
        <f>R6*R12 + ($G$5*'Cancel Curves'!$M$12 + $H$5*'Cancel Curves'!$L$12 + $I$5*'Cancel Curves'!$K$12 + $J$5*'Cancel Curves'!$J$12 + $K$5*'Cancel Curves'!$I$12 + $L$5*'Cancel Curves'!$H$12 + $M$5*'Cancel Curves'!$G$12 + $N$5*'Cancel Curves'!$F$12 + $O$5*'Cancel Curves'!$E$12 + $P$5*'Cancel Curves'!$D$12 + $Q$5*'Cancel Curves'!$C$12 + $R$5*'Cancel Curves'!$B$12)*Assumptions!$B$76</f>
        <v/>
      </c>
      <c r="S13" s="77">
        <f>S6*S12 + ($H$5*'Cancel Curves'!$M$12 + $I$5*'Cancel Curves'!$L$12 + $J$5*'Cancel Curves'!$K$12 + $K$5*'Cancel Curves'!$J$12 + $L$5*'Cancel Curves'!$I$12 + $M$5*'Cancel Curves'!$H$12 + $N$5*'Cancel Curves'!$G$12 + $O$5*'Cancel Curves'!$F$12 + $P$5*'Cancel Curves'!$E$12 + $Q$5*'Cancel Curves'!$D$12 + $R$5*'Cancel Curves'!$C$12 + $S$5*'Cancel Curves'!$B$12)*Assumptions!$B$76</f>
        <v/>
      </c>
      <c r="T13" s="77">
        <f>T6*T12 + ($I$5*'Cancel Curves'!$M$12 + $J$5*'Cancel Curves'!$L$12 + $K$5*'Cancel Curves'!$K$12 + $L$5*'Cancel Curves'!$J$12 + $M$5*'Cancel Curves'!$I$12 + $N$5*'Cancel Curves'!$H$12 + $O$5*'Cancel Curves'!$G$12 + $P$5*'Cancel Curves'!$F$12 + $Q$5*'Cancel Curves'!$E$12 + $R$5*'Cancel Curves'!$D$12 + $S$5*'Cancel Curves'!$C$12 + $T$5*'Cancel Curves'!$B$12)*Assumptions!$B$76</f>
        <v/>
      </c>
      <c r="U13" s="77">
        <f>U6*U12 + ($J$5*'Cancel Curves'!$M$12 + $K$5*'Cancel Curves'!$L$12 + $L$5*'Cancel Curves'!$K$12 + $M$5*'Cancel Curves'!$J$12 + $N$5*'Cancel Curves'!$I$12 + $O$5*'Cancel Curves'!$H$12 + $P$5*'Cancel Curves'!$G$12 + $Q$5*'Cancel Curves'!$F$12 + $R$5*'Cancel Curves'!$E$12 + $S$5*'Cancel Curves'!$D$12 + $T$5*'Cancel Curves'!$C$12 + $U$5*'Cancel Curves'!$B$12)*Assumptions!$B$76</f>
        <v/>
      </c>
      <c r="V13" s="77">
        <f>V6*V12 + ($K$5*'Cancel Curves'!$M$12 + $L$5*'Cancel Curves'!$L$12 + $M$5*'Cancel Curves'!$K$12 + $N$5*'Cancel Curves'!$J$12 + $O$5*'Cancel Curves'!$I$12 + $P$5*'Cancel Curves'!$H$12 + $Q$5*'Cancel Curves'!$G$12 + $R$5*'Cancel Curves'!$F$12 + $S$5*'Cancel Curves'!$E$12 + $T$5*'Cancel Curves'!$D$12 + $U$5*'Cancel Curves'!$C$12 + $V$5*'Cancel Curves'!$B$12)*Assumptions!$B$76</f>
        <v/>
      </c>
      <c r="W13" s="77">
        <f>W6*W12 + ($L$5*'Cancel Curves'!$M$12 + $M$5*'Cancel Curves'!$L$12 + $N$5*'Cancel Curves'!$K$12 + $O$5*'Cancel Curves'!$J$12 + $P$5*'Cancel Curves'!$I$12 + $Q$5*'Cancel Curves'!$H$12 + $R$5*'Cancel Curves'!$G$12 + $S$5*'Cancel Curves'!$F$12 + $T$5*'Cancel Curves'!$E$12 + $U$5*'Cancel Curves'!$D$12 + $V$5*'Cancel Curves'!$C$12 + $W$5*'Cancel Curves'!$B$12)*Assumptions!$B$76</f>
        <v/>
      </c>
      <c r="X13" s="77">
        <f>X6*X12 + ($M$5*'Cancel Curves'!$M$12 + $N$5*'Cancel Curves'!$L$12 + $O$5*'Cancel Curves'!$K$12 + $P$5*'Cancel Curves'!$J$12 + $Q$5*'Cancel Curves'!$I$12 + $R$5*'Cancel Curves'!$H$12 + $S$5*'Cancel Curves'!$G$12 + $T$5*'Cancel Curves'!$F$12 + $U$5*'Cancel Curves'!$E$12 + $V$5*'Cancel Curves'!$D$12 + $W$5*'Cancel Curves'!$C$12 + $X$5*'Cancel Curves'!$B$12)*Assumptions!$B$76</f>
        <v/>
      </c>
      <c r="Y13" s="77">
        <f>Y6*Y12 + ($N$5*'Cancel Curves'!$M$12 + $O$5*'Cancel Curves'!$L$12 + $P$5*'Cancel Curves'!$K$12 + $Q$5*'Cancel Curves'!$J$12 + $R$5*'Cancel Curves'!$I$12 + $S$5*'Cancel Curves'!$H$12 + $T$5*'Cancel Curves'!$G$12 + $U$5*'Cancel Curves'!$F$12 + $V$5*'Cancel Curves'!$E$12 + $W$5*'Cancel Curves'!$D$12 + $X$5*'Cancel Curves'!$C$12 + $Y$5*'Cancel Curves'!$B$12)*Assumptions!$B$76</f>
        <v/>
      </c>
      <c r="Z13" s="77">
        <f>Z6*Z12 + ($O$5*'Cancel Curves'!$M$12 + $P$5*'Cancel Curves'!$L$12 + $Q$5*'Cancel Curves'!$K$12 + $R$5*'Cancel Curves'!$J$12 + $S$5*'Cancel Curves'!$I$12 + $T$5*'Cancel Curves'!$H$12 + $U$5*'Cancel Curves'!$G$12 + $V$5*'Cancel Curves'!$F$12 + $W$5*'Cancel Curves'!$E$12 + $X$5*'Cancel Curves'!$D$12 + $Y$5*'Cancel Curves'!$C$12 + $Z$5*'Cancel Curves'!$B$12)*Assumptions!$B$76</f>
        <v/>
      </c>
      <c r="AA13" s="77">
        <f>AA6*AA12 + ($P$5*'Cancel Curves'!$M$12 + $Q$5*'Cancel Curves'!$L$12 + $R$5*'Cancel Curves'!$K$12 + $S$5*'Cancel Curves'!$J$12 + $T$5*'Cancel Curves'!$I$12 + $U$5*'Cancel Curves'!$H$12 + $V$5*'Cancel Curves'!$G$12 + $W$5*'Cancel Curves'!$F$12 + $X$5*'Cancel Curves'!$E$12 + $Y$5*'Cancel Curves'!$D$12 + $Z$5*'Cancel Curves'!$C$12 + $AA$5*'Cancel Curves'!$B$12)*Assumptions!$B$76</f>
        <v/>
      </c>
      <c r="AB13" s="77">
        <f>AB6*AB12 + ($Q$5*'Cancel Curves'!$M$12 + $R$5*'Cancel Curves'!$L$12 + $S$5*'Cancel Curves'!$K$12 + $T$5*'Cancel Curves'!$J$12 + $U$5*'Cancel Curves'!$I$12 + $V$5*'Cancel Curves'!$H$12 + $W$5*'Cancel Curves'!$G$12 + $X$5*'Cancel Curves'!$F$12 + $Y$5*'Cancel Curves'!$E$12 + $Z$5*'Cancel Curves'!$D$12 + $AA$5*'Cancel Curves'!$C$12 + $AB$5*'Cancel Curves'!$B$12)*Assumptions!$B$76</f>
        <v/>
      </c>
      <c r="AC13" s="77">
        <f>AC6*AC12 + ($R$5*'Cancel Curves'!$M$12 + $S$5*'Cancel Curves'!$L$12 + $T$5*'Cancel Curves'!$K$12 + $U$5*'Cancel Curves'!$J$12 + $V$5*'Cancel Curves'!$I$12 + $W$5*'Cancel Curves'!$H$12 + $X$5*'Cancel Curves'!$G$12 + $Y$5*'Cancel Curves'!$F$12 + $Z$5*'Cancel Curves'!$E$12 + $AA$5*'Cancel Curves'!$D$12 + $AB$5*'Cancel Curves'!$C$12 + $AC$5*'Cancel Curves'!$B$12)*Assumptions!$B$76</f>
        <v/>
      </c>
      <c r="AD13" s="77">
        <f>AD6*AD12 + ($S$5*'Cancel Curves'!$M$12 + $T$5*'Cancel Curves'!$L$12 + $U$5*'Cancel Curves'!$K$12 + $V$5*'Cancel Curves'!$J$12 + $W$5*'Cancel Curves'!$I$12 + $X$5*'Cancel Curves'!$H$12 + $Y$5*'Cancel Curves'!$G$12 + $Z$5*'Cancel Curves'!$F$12 + $AA$5*'Cancel Curves'!$E$12 + $AB$5*'Cancel Curves'!$D$12 + $AC$5*'Cancel Curves'!$C$12 + $AD$5*'Cancel Curves'!$B$12)*Assumptions!$B$76</f>
        <v/>
      </c>
      <c r="AE13" s="77">
        <f>AE6*AE12 + ($T$5*'Cancel Curves'!$M$12 + $U$5*'Cancel Curves'!$L$12 + $V$5*'Cancel Curves'!$K$12 + $W$5*'Cancel Curves'!$J$12 + $X$5*'Cancel Curves'!$I$12 + $Y$5*'Cancel Curves'!$H$12 + $Z$5*'Cancel Curves'!$G$12 + $AA$5*'Cancel Curves'!$F$12 + $AB$5*'Cancel Curves'!$E$12 + $AC$5*'Cancel Curves'!$D$12 + $AD$5*'Cancel Curves'!$C$12 + $AE$5*'Cancel Curves'!$B$12)*Assumptions!$B$76</f>
        <v/>
      </c>
      <c r="AF13" s="77">
        <f>AF6*AF12 + ($U$5*'Cancel Curves'!$M$12 + $V$5*'Cancel Curves'!$L$12 + $W$5*'Cancel Curves'!$K$12 + $X$5*'Cancel Curves'!$J$12 + $Y$5*'Cancel Curves'!$I$12 + $Z$5*'Cancel Curves'!$H$12 + $AA$5*'Cancel Curves'!$G$12 + $AB$5*'Cancel Curves'!$F$12 + $AC$5*'Cancel Curves'!$E$12 + $AD$5*'Cancel Curves'!$D$12 + $AE$5*'Cancel Curves'!$C$12 + $AF$5*'Cancel Curves'!$B$12)*Assumptions!$B$76</f>
        <v/>
      </c>
      <c r="AG13" s="77">
        <f>AG6*AG12 + ($V$5*'Cancel Curves'!$M$12 + $W$5*'Cancel Curves'!$L$12 + $X$5*'Cancel Curves'!$K$12 + $Y$5*'Cancel Curves'!$J$12 + $Z$5*'Cancel Curves'!$I$12 + $AA$5*'Cancel Curves'!$H$12 + $AB$5*'Cancel Curves'!$G$12 + $AC$5*'Cancel Curves'!$F$12 + $AD$5*'Cancel Curves'!$E$12 + $AE$5*'Cancel Curves'!$D$12 + $AF$5*'Cancel Curves'!$C$12 + $AG$5*'Cancel Curves'!$B$12)*Assumptions!$B$76</f>
        <v/>
      </c>
      <c r="AH13" s="77">
        <f>AH6*AH12 + ($W$5*'Cancel Curves'!$M$12 + $X$5*'Cancel Curves'!$L$12 + $Y$5*'Cancel Curves'!$K$12 + $Z$5*'Cancel Curves'!$J$12 + $AA$5*'Cancel Curves'!$I$12 + $AB$5*'Cancel Curves'!$H$12 + $AC$5*'Cancel Curves'!$G$12 + $AD$5*'Cancel Curves'!$F$12 + $AE$5*'Cancel Curves'!$E$12 + $AF$5*'Cancel Curves'!$D$12 + $AG$5*'Cancel Curves'!$C$12 + $AH$5*'Cancel Curves'!$B$12)*Assumptions!$B$76</f>
        <v/>
      </c>
      <c r="AI13" s="77">
        <f>AI6*AI12 + ($X$5*'Cancel Curves'!$M$12 + $Y$5*'Cancel Curves'!$L$12 + $Z$5*'Cancel Curves'!$K$12 + $AA$5*'Cancel Curves'!$J$12 + $AB$5*'Cancel Curves'!$I$12 + $AC$5*'Cancel Curves'!$H$12 + $AD$5*'Cancel Curves'!$G$12 + $AE$5*'Cancel Curves'!$F$12 + $AF$5*'Cancel Curves'!$E$12 + $AG$5*'Cancel Curves'!$D$12 + $AH$5*'Cancel Curves'!$C$12 + $AI$5*'Cancel Curves'!$B$12)*Assumptions!$B$76</f>
        <v/>
      </c>
      <c r="AJ13" s="77">
        <f>AJ6*AJ12 + ($Y$5*'Cancel Curves'!$M$12 + $Z$5*'Cancel Curves'!$L$12 + $AA$5*'Cancel Curves'!$K$12 + $AB$5*'Cancel Curves'!$J$12 + $AC$5*'Cancel Curves'!$I$12 + $AD$5*'Cancel Curves'!$H$12 + $AE$5*'Cancel Curves'!$G$12 + $AF$5*'Cancel Curves'!$F$12 + $AG$5*'Cancel Curves'!$E$12 + $AH$5*'Cancel Curves'!$D$12 + $AI$5*'Cancel Curves'!$C$12 + $AJ$5*'Cancel Curves'!$B$12)*Assumptions!$B$76</f>
        <v/>
      </c>
      <c r="AK13" s="77">
        <f>AK6*AK12 + ($Z$5*'Cancel Curves'!$M$12 + $AA$5*'Cancel Curves'!$L$12 + $AB$5*'Cancel Curves'!$K$12 + $AC$5*'Cancel Curves'!$J$12 + $AD$5*'Cancel Curves'!$I$12 + $AE$5*'Cancel Curves'!$H$12 + $AF$5*'Cancel Curves'!$G$12 + $AG$5*'Cancel Curves'!$F$12 + $AH$5*'Cancel Curves'!$E$12 + $AI$5*'Cancel Curves'!$D$12 + $AJ$5*'Cancel Curves'!$C$12 + $AK$5*'Cancel Curves'!$B$12)*Assumptions!$B$76</f>
        <v/>
      </c>
      <c r="AL13" s="77">
        <f>AL6*AL12 + ($AA$5*'Cancel Curves'!$M$12 + $AB$5*'Cancel Curves'!$L$12 + $AC$5*'Cancel Curves'!$K$12 + $AD$5*'Cancel Curves'!$J$12 + $AE$5*'Cancel Curves'!$I$12 + $AF$5*'Cancel Curves'!$H$12 + $AG$5*'Cancel Curves'!$G$12 + $AH$5*'Cancel Curves'!$F$12 + $AI$5*'Cancel Curves'!$E$12 + $AJ$5*'Cancel Curves'!$D$12 + $AK$5*'Cancel Curves'!$C$12 + $AL$5*'Cancel Curves'!$B$12)*Assumptions!$B$76</f>
        <v/>
      </c>
      <c r="AM13" s="77">
        <f>AM6*AM12 + ($AB$5*'Cancel Curves'!$M$12 + $AC$5*'Cancel Curves'!$L$12 + $AD$5*'Cancel Curves'!$K$12 + $AE$5*'Cancel Curves'!$J$12 + $AF$5*'Cancel Curves'!$I$12 + $AG$5*'Cancel Curves'!$H$12 + $AH$5*'Cancel Curves'!$G$12 + $AI$5*'Cancel Curves'!$F$12 + $AJ$5*'Cancel Curves'!$E$12 + $AK$5*'Cancel Curves'!$D$12 + $AL$5*'Cancel Curves'!$C$12 + $AM$5*'Cancel Curves'!$B$12)*Assumptions!$B$76</f>
        <v/>
      </c>
      <c r="AN13" s="77">
        <f>AN6*AN12 + ($AC$5*'Cancel Curves'!$M$12 + $AD$5*'Cancel Curves'!$L$12 + $AE$5*'Cancel Curves'!$K$12 + $AF$5*'Cancel Curves'!$J$12 + $AG$5*'Cancel Curves'!$I$12 + $AH$5*'Cancel Curves'!$H$12 + $AI$5*'Cancel Curves'!$G$12 + $AJ$5*'Cancel Curves'!$F$12 + $AK$5*'Cancel Curves'!$E$12 + $AL$5*'Cancel Curves'!$D$12 + $AM$5*'Cancel Curves'!$C$12 + $AN$5*'Cancel Curves'!$B$12)*Assumptions!$B$76</f>
        <v/>
      </c>
      <c r="AO13" s="77">
        <f>AO6*AO12 + ($AD$5*'Cancel Curves'!$M$12 + $AE$5*'Cancel Curves'!$L$12 + $AF$5*'Cancel Curves'!$K$12 + $AG$5*'Cancel Curves'!$J$12 + $AH$5*'Cancel Curves'!$I$12 + $AI$5*'Cancel Curves'!$H$12 + $AJ$5*'Cancel Curves'!$G$12 + $AK$5*'Cancel Curves'!$F$12 + $AL$5*'Cancel Curves'!$E$12 + $AM$5*'Cancel Curves'!$D$12 + $AN$5*'Cancel Curves'!$C$12 + $AO$5*'Cancel Curves'!$B$12)*Assumptions!$B$76</f>
        <v/>
      </c>
      <c r="AP13" s="77">
        <f>AP6*AP12 + ($AE$5*'Cancel Curves'!$M$12 + $AF$5*'Cancel Curves'!$L$12 + $AG$5*'Cancel Curves'!$K$12 + $AH$5*'Cancel Curves'!$J$12 + $AI$5*'Cancel Curves'!$I$12 + $AJ$5*'Cancel Curves'!$H$12 + $AK$5*'Cancel Curves'!$G$12 + $AL$5*'Cancel Curves'!$F$12 + $AM$5*'Cancel Curves'!$E$12 + $AN$5*'Cancel Curves'!$D$12 + $AO$5*'Cancel Curves'!$C$12 + $AP$5*'Cancel Curves'!$B$12)*Assumptions!$B$76</f>
        <v/>
      </c>
      <c r="AQ13" s="77">
        <f>AQ6*AQ12 + ($AF$5*'Cancel Curves'!$M$12 + $AG$5*'Cancel Curves'!$L$12 + $AH$5*'Cancel Curves'!$K$12 + $AI$5*'Cancel Curves'!$J$12 + $AJ$5*'Cancel Curves'!$I$12 + $AK$5*'Cancel Curves'!$H$12 + $AL$5*'Cancel Curves'!$G$12 + $AM$5*'Cancel Curves'!$F$12 + $AN$5*'Cancel Curves'!$E$12 + $AO$5*'Cancel Curves'!$D$12 + $AP$5*'Cancel Curves'!$C$12 + $AQ$5*'Cancel Curves'!$B$12)*Assumptions!$B$76</f>
        <v/>
      </c>
      <c r="AR13" s="77">
        <f>AR6*AR12 + ($AG$5*'Cancel Curves'!$M$12 + $AH$5*'Cancel Curves'!$L$12 + $AI$5*'Cancel Curves'!$K$12 + $AJ$5*'Cancel Curves'!$J$12 + $AK$5*'Cancel Curves'!$I$12 + $AL$5*'Cancel Curves'!$H$12 + $AM$5*'Cancel Curves'!$G$12 + $AN$5*'Cancel Curves'!$F$12 + $AO$5*'Cancel Curves'!$E$12 + $AP$5*'Cancel Curves'!$D$12 + $AQ$5*'Cancel Curves'!$C$12 + $AR$5*'Cancel Curves'!$B$12)*Assumptions!$B$76</f>
        <v/>
      </c>
      <c r="AS13" s="77">
        <f>AS6*AS12 + ($AH$5*'Cancel Curves'!$M$12 + $AI$5*'Cancel Curves'!$L$12 + $AJ$5*'Cancel Curves'!$K$12 + $AK$5*'Cancel Curves'!$J$12 + $AL$5*'Cancel Curves'!$I$12 + $AM$5*'Cancel Curves'!$H$12 + $AN$5*'Cancel Curves'!$G$12 + $AO$5*'Cancel Curves'!$F$12 + $AP$5*'Cancel Curves'!$E$12 + $AQ$5*'Cancel Curves'!$D$12 + $AR$5*'Cancel Curves'!$C$12 + $AS$5*'Cancel Curves'!$B$12)*Assumptions!$B$76</f>
        <v/>
      </c>
      <c r="AT13" s="77">
        <f>AT6*AT12 + ($AI$5*'Cancel Curves'!$M$12 + $AJ$5*'Cancel Curves'!$L$12 + $AK$5*'Cancel Curves'!$K$12 + $AL$5*'Cancel Curves'!$J$12 + $AM$5*'Cancel Curves'!$I$12 + $AN$5*'Cancel Curves'!$H$12 + $AO$5*'Cancel Curves'!$G$12 + $AP$5*'Cancel Curves'!$F$12 + $AQ$5*'Cancel Curves'!$E$12 + $AR$5*'Cancel Curves'!$D$12 + $AS$5*'Cancel Curves'!$C$12 + $AT$5*'Cancel Curves'!$B$12)*Assumptions!$B$76</f>
        <v/>
      </c>
      <c r="AU13" s="77">
        <f>AU6*AU12 + ($AJ$5*'Cancel Curves'!$M$12 + $AK$5*'Cancel Curves'!$L$12 + $AL$5*'Cancel Curves'!$K$12 + $AM$5*'Cancel Curves'!$J$12 + $AN$5*'Cancel Curves'!$I$12 + $AO$5*'Cancel Curves'!$H$12 + $AP$5*'Cancel Curves'!$G$12 + $AQ$5*'Cancel Curves'!$F$12 + $AR$5*'Cancel Curves'!$E$12 + $AS$5*'Cancel Curves'!$D$12 + $AT$5*'Cancel Curves'!$C$12 + $AU$5*'Cancel Curves'!$B$12)*Assumptions!$B$76</f>
        <v/>
      </c>
      <c r="AV13" s="77">
        <f>AV6*AV12 + ($AK$5*'Cancel Curves'!$M$12 + $AL$5*'Cancel Curves'!$L$12 + $AM$5*'Cancel Curves'!$K$12 + $AN$5*'Cancel Curves'!$J$12 + $AO$5*'Cancel Curves'!$I$12 + $AP$5*'Cancel Curves'!$H$12 + $AQ$5*'Cancel Curves'!$G$12 + $AR$5*'Cancel Curves'!$F$12 + $AS$5*'Cancel Curves'!$E$12 + $AT$5*'Cancel Curves'!$D$12 + $AU$5*'Cancel Curves'!$C$12 + $AV$5*'Cancel Curves'!$B$12)*Assumptions!$B$76</f>
        <v/>
      </c>
      <c r="AW13" s="77">
        <f>AW6*AW12 + ($AL$5*'Cancel Curves'!$M$12 + $AM$5*'Cancel Curves'!$L$12 + $AN$5*'Cancel Curves'!$K$12 + $AO$5*'Cancel Curves'!$J$12 + $AP$5*'Cancel Curves'!$I$12 + $AQ$5*'Cancel Curves'!$H$12 + $AR$5*'Cancel Curves'!$G$12 + $AS$5*'Cancel Curves'!$F$12 + $AT$5*'Cancel Curves'!$E$12 + $AU$5*'Cancel Curves'!$D$12 + $AV$5*'Cancel Curves'!$C$12 + $AW$5*'Cancel Curves'!$B$12)*Assumptions!$B$76</f>
        <v/>
      </c>
      <c r="AX13" s="77">
        <f>AX6*AX12 + ($AM$5*'Cancel Curves'!$M$12 + $AN$5*'Cancel Curves'!$L$12 + $AO$5*'Cancel Curves'!$K$12 + $AP$5*'Cancel Curves'!$J$12 + $AQ$5*'Cancel Curves'!$I$12 + $AR$5*'Cancel Curves'!$H$12 + $AS$5*'Cancel Curves'!$G$12 + $AT$5*'Cancel Curves'!$F$12 + $AU$5*'Cancel Curves'!$E$12 + $AV$5*'Cancel Curves'!$D$12 + $AW$5*'Cancel Curves'!$C$12 + $AX$5*'Cancel Curves'!$B$12)*Assumptions!$B$76</f>
        <v/>
      </c>
      <c r="AY13" s="77">
        <f>AY6*AY12 + ($AN$5*'Cancel Curves'!$M$12 + $AO$5*'Cancel Curves'!$L$12 + $AP$5*'Cancel Curves'!$K$12 + $AQ$5*'Cancel Curves'!$J$12 + $AR$5*'Cancel Curves'!$I$12 + $AS$5*'Cancel Curves'!$H$12 + $AT$5*'Cancel Curves'!$G$12 + $AU$5*'Cancel Curves'!$F$12 + $AV$5*'Cancel Curves'!$E$12 + $AW$5*'Cancel Curves'!$D$12 + $AX$5*'Cancel Curves'!$C$12 + $AY$5*'Cancel Curves'!$B$12)*Assumptions!$B$76</f>
        <v/>
      </c>
      <c r="AZ13" s="77">
        <f>AZ6*AZ12 + ($AO$5*'Cancel Curves'!$M$12 + $AP$5*'Cancel Curves'!$L$12 + $AQ$5*'Cancel Curves'!$K$12 + $AR$5*'Cancel Curves'!$J$12 + $AS$5*'Cancel Curves'!$I$12 + $AT$5*'Cancel Curves'!$H$12 + $AU$5*'Cancel Curves'!$G$12 + $AV$5*'Cancel Curves'!$F$12 + $AW$5*'Cancel Curves'!$E$12 + $AX$5*'Cancel Curves'!$D$12 + $AY$5*'Cancel Curves'!$C$12 + $AZ$5*'Cancel Curves'!$B$12)*Assumptions!$B$76</f>
        <v/>
      </c>
      <c r="BA13" s="77">
        <f>BA6*BA12 + ($AP$5*'Cancel Curves'!$M$12 + $AQ$5*'Cancel Curves'!$L$12 + $AR$5*'Cancel Curves'!$K$12 + $AS$5*'Cancel Curves'!$J$12 + $AT$5*'Cancel Curves'!$I$12 + $AU$5*'Cancel Curves'!$H$12 + $AV$5*'Cancel Curves'!$G$12 + $AW$5*'Cancel Curves'!$F$12 + $AX$5*'Cancel Curves'!$E$12 + $AY$5*'Cancel Curves'!$D$12 + $AZ$5*'Cancel Curves'!$C$12 + $BA$5*'Cancel Curves'!$B$12)*Assumptions!$B$76</f>
        <v/>
      </c>
      <c r="BB13" s="77">
        <f>BB6*BB12 + ($AQ$5*'Cancel Curves'!$M$12 + $AR$5*'Cancel Curves'!$L$12 + $AS$5*'Cancel Curves'!$K$12 + $AT$5*'Cancel Curves'!$J$12 + $AU$5*'Cancel Curves'!$I$12 + $AV$5*'Cancel Curves'!$H$12 + $AW$5*'Cancel Curves'!$G$12 + $AX$5*'Cancel Curves'!$F$12 + $AY$5*'Cancel Curves'!$E$12 + $AZ$5*'Cancel Curves'!$D$12 + $BA$5*'Cancel Curves'!$C$12 + $BB$5*'Cancel Curves'!$B$12)*Assumptions!$B$76</f>
        <v/>
      </c>
      <c r="BC13" s="77">
        <f>BC6*BC12 + ($AR$5*'Cancel Curves'!$M$12 + $AS$5*'Cancel Curves'!$L$12 + $AT$5*'Cancel Curves'!$K$12 + $AU$5*'Cancel Curves'!$J$12 + $AV$5*'Cancel Curves'!$I$12 + $AW$5*'Cancel Curves'!$H$12 + $AX$5*'Cancel Curves'!$G$12 + $AY$5*'Cancel Curves'!$F$12 + $AZ$5*'Cancel Curves'!$E$12 + $BA$5*'Cancel Curves'!$D$12 + $BB$5*'Cancel Curves'!$C$12 + $BC$5*'Cancel Curves'!$B$12)*Assumptions!$B$76</f>
        <v/>
      </c>
      <c r="BD13" s="77">
        <f>BD6*BD12 + ($AS$5*'Cancel Curves'!$M$12 + $AT$5*'Cancel Curves'!$L$12 + $AU$5*'Cancel Curves'!$K$12 + $AV$5*'Cancel Curves'!$J$12 + $AW$5*'Cancel Curves'!$I$12 + $AX$5*'Cancel Curves'!$H$12 + $AY$5*'Cancel Curves'!$G$12 + $AZ$5*'Cancel Curves'!$F$12 + $BA$5*'Cancel Curves'!$E$12 + $BB$5*'Cancel Curves'!$D$12 + $BC$5*'Cancel Curves'!$C$12 + $BD$5*'Cancel Curves'!$B$12)*Assumptions!$B$76</f>
        <v/>
      </c>
      <c r="BE13" s="77">
        <f>BE6*BE12 + ($AT$5*'Cancel Curves'!$M$12 + $AU$5*'Cancel Curves'!$L$12 + $AV$5*'Cancel Curves'!$K$12 + $AW$5*'Cancel Curves'!$J$12 + $AX$5*'Cancel Curves'!$I$12 + $AY$5*'Cancel Curves'!$H$12 + $AZ$5*'Cancel Curves'!$G$12 + $BA$5*'Cancel Curves'!$F$12 + $BB$5*'Cancel Curves'!$E$12 + $BC$5*'Cancel Curves'!$D$12 + $BD$5*'Cancel Curves'!$C$12 + $BE$5*'Cancel Curves'!$B$12)*Assumptions!$B$76</f>
        <v/>
      </c>
      <c r="BF13" s="77">
        <f>BF6*BF12 + ($AU$5*'Cancel Curves'!$M$12 + $AV$5*'Cancel Curves'!$L$12 + $AW$5*'Cancel Curves'!$K$12 + $AX$5*'Cancel Curves'!$J$12 + $AY$5*'Cancel Curves'!$I$12 + $AZ$5*'Cancel Curves'!$H$12 + $BA$5*'Cancel Curves'!$G$12 + $BB$5*'Cancel Curves'!$F$12 + $BC$5*'Cancel Curves'!$E$12 + $BD$5*'Cancel Curves'!$D$12 + $BE$5*'Cancel Curves'!$C$12 + $BF$5*'Cancel Curves'!$B$12)*Assumptions!$B$76</f>
        <v/>
      </c>
      <c r="BG13" s="77">
        <f>BG6*BG12 + ($AV$5*'Cancel Curves'!$M$12 + $AW$5*'Cancel Curves'!$L$12 + $AX$5*'Cancel Curves'!$K$12 + $AY$5*'Cancel Curves'!$J$12 + $AZ$5*'Cancel Curves'!$I$12 + $BA$5*'Cancel Curves'!$H$12 + $BB$5*'Cancel Curves'!$G$12 + $BC$5*'Cancel Curves'!$F$12 + $BD$5*'Cancel Curves'!$E$12 + $BE$5*'Cancel Curves'!$D$12 + $BF$5*'Cancel Curves'!$C$12 + $BG$5*'Cancel Curves'!$B$12)*Assumptions!$B$76</f>
        <v/>
      </c>
      <c r="BH13" s="77">
        <f>BH6*BH12 + ($AW$5*'Cancel Curves'!$M$12 + $AX$5*'Cancel Curves'!$L$12 + $AY$5*'Cancel Curves'!$K$12 + $AZ$5*'Cancel Curves'!$J$12 + $BA$5*'Cancel Curves'!$I$12 + $BB$5*'Cancel Curves'!$H$12 + $BC$5*'Cancel Curves'!$G$12 + $BD$5*'Cancel Curves'!$F$12 + $BE$5*'Cancel Curves'!$E$12 + $BF$5*'Cancel Curves'!$D$12 + $BG$5*'Cancel Curves'!$C$12 + $BH$5*'Cancel Curves'!$B$12)*Assumptions!$B$76</f>
        <v/>
      </c>
      <c r="BI13" s="77">
        <f>BI6*BI12 + ($AX$5*'Cancel Curves'!$M$12 + $AY$5*'Cancel Curves'!$L$12 + $AZ$5*'Cancel Curves'!$K$12 + $BA$5*'Cancel Curves'!$J$12 + $BB$5*'Cancel Curves'!$I$12 + $BC$5*'Cancel Curves'!$H$12 + $BD$5*'Cancel Curves'!$G$12 + $BE$5*'Cancel Curves'!$F$12 + $BF$5*'Cancel Curves'!$E$12 + $BG$5*'Cancel Curves'!$D$12 + $BH$5*'Cancel Curves'!$C$12 + $BI$5*'Cancel Curves'!$B$12)*Assumptions!$B$76</f>
        <v/>
      </c>
      <c r="BJ13" s="77">
        <f>BJ6*BJ12 + ($AY$5*'Cancel Curves'!$M$12 + $AZ$5*'Cancel Curves'!$L$12 + $BA$5*'Cancel Curves'!$K$12 + $BB$5*'Cancel Curves'!$J$12 + $BC$5*'Cancel Curves'!$I$12 + $BD$5*'Cancel Curves'!$H$12 + $BE$5*'Cancel Curves'!$G$12 + $BF$5*'Cancel Curves'!$F$12 + $BG$5*'Cancel Curves'!$E$12 + $BH$5*'Cancel Curves'!$D$12 + $BI$5*'Cancel Curves'!$C$12 + $BJ$5*'Cancel Curves'!$B$12)*Assumptions!$B$76</f>
        <v/>
      </c>
      <c r="BK13" s="77">
        <f>BK6*BK12 + ($AZ$5*'Cancel Curves'!$M$12 + $BA$5*'Cancel Curves'!$L$12 + $BB$5*'Cancel Curves'!$K$12 + $BC$5*'Cancel Curves'!$J$12 + $BD$5*'Cancel Curves'!$I$12 + $BE$5*'Cancel Curves'!$H$12 + $BF$5*'Cancel Curves'!$G$12 + $BG$5*'Cancel Curves'!$F$12 + $BH$5*'Cancel Curves'!$E$12 + $BI$5*'Cancel Curves'!$D$12 + $BJ$5*'Cancel Curves'!$C$12 + $BK$5*'Cancel Curves'!$B$12)*Assumptions!$B$76</f>
        <v/>
      </c>
      <c r="BL13" s="77">
        <f>BL6*BL12 + ($BA$5*'Cancel Curves'!$M$12 + $BB$5*'Cancel Curves'!$L$12 + $BC$5*'Cancel Curves'!$K$12 + $BD$5*'Cancel Curves'!$J$12 + $BE$5*'Cancel Curves'!$I$12 + $BF$5*'Cancel Curves'!$H$12 + $BG$5*'Cancel Curves'!$G$12 + $BH$5*'Cancel Curves'!$F$12 + $BI$5*'Cancel Curves'!$E$12 + $BJ$5*'Cancel Curves'!$D$12 + $BK$5*'Cancel Curves'!$C$12 + $BL$5*'Cancel Curves'!$B$12)*Assumptions!$B$76</f>
        <v/>
      </c>
      <c r="BM13" s="77">
        <f>BM6*BM12 + ($BB$5*'Cancel Curves'!$M$12 + $BC$5*'Cancel Curves'!$L$12 + $BD$5*'Cancel Curves'!$K$12 + $BE$5*'Cancel Curves'!$J$12 + $BF$5*'Cancel Curves'!$I$12 + $BG$5*'Cancel Curves'!$H$12 + $BH$5*'Cancel Curves'!$G$12 + $BI$5*'Cancel Curves'!$F$12 + $BJ$5*'Cancel Curves'!$E$12 + $BK$5*'Cancel Curves'!$D$12 + $BL$5*'Cancel Curves'!$C$12 + $BM$5*'Cancel Curves'!$B$12)*Assumptions!$B$76</f>
        <v/>
      </c>
      <c r="BN13" s="77">
        <f>BN6*BN12 + ($BC$5*'Cancel Curves'!$M$12 + $BD$5*'Cancel Curves'!$L$12 + $BE$5*'Cancel Curves'!$K$12 + $BF$5*'Cancel Curves'!$J$12 + $BG$5*'Cancel Curves'!$I$12 + $BH$5*'Cancel Curves'!$H$12 + $BI$5*'Cancel Curves'!$G$12 + $BJ$5*'Cancel Curves'!$F$12 + $BK$5*'Cancel Curves'!$E$12 + $BL$5*'Cancel Curves'!$D$12 + $BM$5*'Cancel Curves'!$C$12 + $BN$5*'Cancel Curves'!$B$12)*Assumptions!$B$76</f>
        <v/>
      </c>
      <c r="BO13" s="77">
        <f>BO6*BO12 + ($BD$5*'Cancel Curves'!$M$12 + $BE$5*'Cancel Curves'!$L$12 + $BF$5*'Cancel Curves'!$K$12 + $BG$5*'Cancel Curves'!$J$12 + $BH$5*'Cancel Curves'!$I$12 + $BI$5*'Cancel Curves'!$H$12 + $BJ$5*'Cancel Curves'!$G$12 + $BK$5*'Cancel Curves'!$F$12 + $BL$5*'Cancel Curves'!$E$12 + $BM$5*'Cancel Curves'!$D$12 + $BN$5*'Cancel Curves'!$C$12 + $BO$5*'Cancel Curves'!$B$12)*Assumptions!$B$76</f>
        <v/>
      </c>
      <c r="BP13" s="77">
        <f>BP6*BP12 + ($BE$5*'Cancel Curves'!$M$12 + $BF$5*'Cancel Curves'!$L$12 + $BG$5*'Cancel Curves'!$K$12 + $BH$5*'Cancel Curves'!$J$12 + $BI$5*'Cancel Curves'!$I$12 + $BJ$5*'Cancel Curves'!$H$12 + $BK$5*'Cancel Curves'!$G$12 + $BL$5*'Cancel Curves'!$F$12 + $BM$5*'Cancel Curves'!$E$12 + $BN$5*'Cancel Curves'!$D$12 + $BO$5*'Cancel Curves'!$C$12 + $BP$5*'Cancel Curves'!$B$12)*Assumptions!$B$76</f>
        <v/>
      </c>
      <c r="BQ13" s="77">
        <f>BQ6*BQ12 + ($BF$5*'Cancel Curves'!$M$12 + $BG$5*'Cancel Curves'!$L$12 + $BH$5*'Cancel Curves'!$K$12 + $BI$5*'Cancel Curves'!$J$12 + $BJ$5*'Cancel Curves'!$I$12 + $BK$5*'Cancel Curves'!$H$12 + $BL$5*'Cancel Curves'!$G$12 + $BM$5*'Cancel Curves'!$F$12 + $BN$5*'Cancel Curves'!$E$12 + $BO$5*'Cancel Curves'!$D$12 + $BP$5*'Cancel Curves'!$C$12 + $BQ$5*'Cancel Curves'!$B$12)*Assumptions!$B$76</f>
        <v/>
      </c>
      <c r="BR13" s="77">
        <f>BR6*BR12 + ($BG$5*'Cancel Curves'!$M$12 + $BH$5*'Cancel Curves'!$L$12 + $BI$5*'Cancel Curves'!$K$12 + $BJ$5*'Cancel Curves'!$J$12 + $BK$5*'Cancel Curves'!$I$12 + $BL$5*'Cancel Curves'!$H$12 + $BM$5*'Cancel Curves'!$G$12 + $BN$5*'Cancel Curves'!$F$12 + $BO$5*'Cancel Curves'!$E$12 + $BP$5*'Cancel Curves'!$D$12 + $BQ$5*'Cancel Curves'!$C$12 + $BR$5*'Cancel Curves'!$B$12)*Assumptions!$B$76</f>
        <v/>
      </c>
      <c r="BS13" s="77">
        <f>BS6*BS12 + ($BH$5*'Cancel Curves'!$M$12 + $BI$5*'Cancel Curves'!$L$12 + $BJ$5*'Cancel Curves'!$K$12 + $BK$5*'Cancel Curves'!$J$12 + $BL$5*'Cancel Curves'!$I$12 + $BM$5*'Cancel Curves'!$H$12 + $BN$5*'Cancel Curves'!$G$12 + $BO$5*'Cancel Curves'!$F$12 + $BP$5*'Cancel Curves'!$E$12 + $BQ$5*'Cancel Curves'!$D$12 + $BR$5*'Cancel Curves'!$C$12 + $BS$5*'Cancel Curves'!$B$12)*Assumptions!$B$76</f>
        <v/>
      </c>
      <c r="BT13" s="77">
        <f>BT6*BT12 + ($BI$5*'Cancel Curves'!$M$12 + $BJ$5*'Cancel Curves'!$L$12 + $BK$5*'Cancel Curves'!$K$12 + $BL$5*'Cancel Curves'!$J$12 + $BM$5*'Cancel Curves'!$I$12 + $BN$5*'Cancel Curves'!$H$12 + $BO$5*'Cancel Curves'!$G$12 + $BP$5*'Cancel Curves'!$F$12 + $BQ$5*'Cancel Curves'!$E$12 + $BR$5*'Cancel Curves'!$D$12 + $BS$5*'Cancel Curves'!$C$12 + $BT$5*'Cancel Curves'!$B$12)*Assumptions!$B$76</f>
        <v/>
      </c>
      <c r="BU13" s="77">
        <f>BU6*BU12 + ($BJ$5*'Cancel Curves'!$M$12 + $BK$5*'Cancel Curves'!$L$12 + $BL$5*'Cancel Curves'!$K$12 + $BM$5*'Cancel Curves'!$J$12 + $BN$5*'Cancel Curves'!$I$12 + $BO$5*'Cancel Curves'!$H$12 + $BP$5*'Cancel Curves'!$G$12 + $BQ$5*'Cancel Curves'!$F$12 + $BR$5*'Cancel Curves'!$E$12 + $BS$5*'Cancel Curves'!$D$12 + $BT$5*'Cancel Curves'!$C$12 + $BU$5*'Cancel Curves'!$B$12)*Assumptions!$B$76</f>
        <v/>
      </c>
      <c r="BV13" s="77">
        <f>BV6*BV12 + ($BK$5*'Cancel Curves'!$M$12 + $BL$5*'Cancel Curves'!$L$12 + $BM$5*'Cancel Curves'!$K$12 + $BN$5*'Cancel Curves'!$J$12 + $BO$5*'Cancel Curves'!$I$12 + $BP$5*'Cancel Curves'!$H$12 + $BQ$5*'Cancel Curves'!$G$12 + $BR$5*'Cancel Curves'!$F$12 + $BS$5*'Cancel Curves'!$E$12 + $BT$5*'Cancel Curves'!$D$12 + $BU$5*'Cancel Curves'!$C$12 + $BV$5*'Cancel Curves'!$B$12)*Assumptions!$B$76</f>
        <v/>
      </c>
      <c r="BW13" s="77">
        <f>BW6*BW12 + ($BL$5*'Cancel Curves'!$M$12 + $BM$5*'Cancel Curves'!$L$12 + $BN$5*'Cancel Curves'!$K$12 + $BO$5*'Cancel Curves'!$J$12 + $BP$5*'Cancel Curves'!$I$12 + $BQ$5*'Cancel Curves'!$H$12 + $BR$5*'Cancel Curves'!$G$12 + $BS$5*'Cancel Curves'!$F$12 + $BT$5*'Cancel Curves'!$E$12 + $BU$5*'Cancel Curves'!$D$12 + $BV$5*'Cancel Curves'!$C$12 + $BW$5*'Cancel Curves'!$B$12)*Assumptions!$B$76</f>
        <v/>
      </c>
    </row>
    <row r="14">
      <c r="A14" t="inlineStr">
        <is>
          <t>Initiation fee (new contracts × IAA)</t>
        </is>
      </c>
      <c r="D14" s="17">
        <f>D5*Assumptions!$B$32</f>
        <v/>
      </c>
      <c r="E14" s="17">
        <f>E5*Assumptions!$B$32</f>
        <v/>
      </c>
      <c r="F14" s="17">
        <f>F5*Assumptions!$B$32</f>
        <v/>
      </c>
      <c r="G14" s="17">
        <f>G5*Assumptions!$B$32</f>
        <v/>
      </c>
      <c r="H14" s="17">
        <f>H5*Assumptions!$B$32</f>
        <v/>
      </c>
      <c r="I14" s="17">
        <f>I5*Assumptions!$B$32</f>
        <v/>
      </c>
      <c r="J14" s="17">
        <f>J5*Assumptions!$B$32</f>
        <v/>
      </c>
      <c r="K14" s="17">
        <f>K5*Assumptions!$B$32</f>
        <v/>
      </c>
      <c r="L14" s="17">
        <f>L5*Assumptions!$B$32</f>
        <v/>
      </c>
      <c r="M14" s="17">
        <f>M5*Assumptions!$B$32</f>
        <v/>
      </c>
      <c r="N14" s="17">
        <f>N5*Assumptions!$B$32</f>
        <v/>
      </c>
      <c r="O14" s="17">
        <f>O5*Assumptions!$B$32</f>
        <v/>
      </c>
      <c r="P14" s="17">
        <f>P5*Assumptions!$B$32</f>
        <v/>
      </c>
      <c r="Q14" s="17">
        <f>Q5*Assumptions!$B$32</f>
        <v/>
      </c>
      <c r="R14" s="17">
        <f>R5*Assumptions!$B$32</f>
        <v/>
      </c>
      <c r="S14" s="17">
        <f>S5*Assumptions!$B$32</f>
        <v/>
      </c>
      <c r="T14" s="17">
        <f>T5*Assumptions!$B$32</f>
        <v/>
      </c>
      <c r="U14" s="17">
        <f>U5*Assumptions!$B$32</f>
        <v/>
      </c>
      <c r="V14" s="17">
        <f>V5*Assumptions!$B$32</f>
        <v/>
      </c>
      <c r="W14" s="17">
        <f>W5*Assumptions!$B$32</f>
        <v/>
      </c>
      <c r="X14" s="17">
        <f>X5*Assumptions!$B$32</f>
        <v/>
      </c>
      <c r="Y14" s="17">
        <f>Y5*Assumptions!$B$32</f>
        <v/>
      </c>
      <c r="Z14" s="17">
        <f>Z5*Assumptions!$B$32</f>
        <v/>
      </c>
      <c r="AA14" s="17">
        <f>AA5*Assumptions!$B$32</f>
        <v/>
      </c>
      <c r="AB14" s="17">
        <f>AB5*Assumptions!$B$32</f>
        <v/>
      </c>
      <c r="AC14" s="17">
        <f>AC5*Assumptions!$B$32</f>
        <v/>
      </c>
      <c r="AD14" s="17">
        <f>AD5*Assumptions!$B$32</f>
        <v/>
      </c>
      <c r="AE14" s="17">
        <f>AE5*Assumptions!$B$32</f>
        <v/>
      </c>
      <c r="AF14" s="17">
        <f>AF5*Assumptions!$B$32</f>
        <v/>
      </c>
      <c r="AG14" s="17">
        <f>AG5*Assumptions!$B$32</f>
        <v/>
      </c>
      <c r="AH14" s="17">
        <f>AH5*Assumptions!$B$32</f>
        <v/>
      </c>
      <c r="AI14" s="17">
        <f>AI5*Assumptions!$B$32</f>
        <v/>
      </c>
      <c r="AJ14" s="17">
        <f>AJ5*Assumptions!$B$32</f>
        <v/>
      </c>
      <c r="AK14" s="17">
        <f>AK5*Assumptions!$B$32</f>
        <v/>
      </c>
      <c r="AL14" s="17">
        <f>AL5*Assumptions!$B$32</f>
        <v/>
      </c>
      <c r="AM14" s="17">
        <f>AM5*Assumptions!$B$32</f>
        <v/>
      </c>
      <c r="AN14" s="17">
        <f>AN5*Assumptions!$B$32</f>
        <v/>
      </c>
      <c r="AO14" s="17">
        <f>AO5*Assumptions!$B$32</f>
        <v/>
      </c>
      <c r="AP14" s="17">
        <f>AP5*Assumptions!$B$32</f>
        <v/>
      </c>
      <c r="AQ14" s="17">
        <f>AQ5*Assumptions!$B$32</f>
        <v/>
      </c>
      <c r="AR14" s="17">
        <f>AR5*Assumptions!$B$32</f>
        <v/>
      </c>
      <c r="AS14" s="17">
        <f>AS5*Assumptions!$B$32</f>
        <v/>
      </c>
      <c r="AT14" s="17">
        <f>AT5*Assumptions!$B$32</f>
        <v/>
      </c>
      <c r="AU14" s="17">
        <f>AU5*Assumptions!$B$32</f>
        <v/>
      </c>
      <c r="AV14" s="17">
        <f>AV5*Assumptions!$B$32</f>
        <v/>
      </c>
      <c r="AW14" s="17">
        <f>AW5*Assumptions!$B$32</f>
        <v/>
      </c>
      <c r="AX14" s="17">
        <f>AX5*Assumptions!$B$32</f>
        <v/>
      </c>
      <c r="AY14" s="17">
        <f>AY5*Assumptions!$B$32</f>
        <v/>
      </c>
      <c r="AZ14" s="17">
        <f>AZ5*Assumptions!$B$32</f>
        <v/>
      </c>
      <c r="BA14" s="17">
        <f>BA5*Assumptions!$B$32</f>
        <v/>
      </c>
      <c r="BB14" s="17">
        <f>BB5*Assumptions!$B$32</f>
        <v/>
      </c>
      <c r="BC14" s="17">
        <f>BC5*Assumptions!$B$32</f>
        <v/>
      </c>
      <c r="BD14" s="17">
        <f>BD5*Assumptions!$B$32</f>
        <v/>
      </c>
      <c r="BE14" s="17">
        <f>BE5*Assumptions!$B$32</f>
        <v/>
      </c>
      <c r="BF14" s="17">
        <f>BF5*Assumptions!$B$32</f>
        <v/>
      </c>
      <c r="BG14" s="17">
        <f>BG5*Assumptions!$B$32</f>
        <v/>
      </c>
      <c r="BH14" s="17">
        <f>BH5*Assumptions!$B$32</f>
        <v/>
      </c>
      <c r="BI14" s="17">
        <f>BI5*Assumptions!$B$32</f>
        <v/>
      </c>
      <c r="BJ14" s="17">
        <f>BJ5*Assumptions!$B$32</f>
        <v/>
      </c>
      <c r="BK14" s="17">
        <f>BK5*Assumptions!$B$32</f>
        <v/>
      </c>
      <c r="BL14" s="17">
        <f>BL5*Assumptions!$B$32</f>
        <v/>
      </c>
      <c r="BM14" s="17">
        <f>BM5*Assumptions!$B$32</f>
        <v/>
      </c>
      <c r="BN14" s="17">
        <f>BN5*Assumptions!$B$32</f>
        <v/>
      </c>
      <c r="BO14" s="17">
        <f>BO5*Assumptions!$B$32</f>
        <v/>
      </c>
      <c r="BP14" s="17">
        <f>BP5*Assumptions!$B$32</f>
        <v/>
      </c>
      <c r="BQ14" s="17">
        <f>BQ5*Assumptions!$B$32</f>
        <v/>
      </c>
      <c r="BR14" s="17">
        <f>BR5*Assumptions!$B$32</f>
        <v/>
      </c>
      <c r="BS14" s="17">
        <f>BS5*Assumptions!$B$32</f>
        <v/>
      </c>
      <c r="BT14" s="17">
        <f>BT5*Assumptions!$B$32</f>
        <v/>
      </c>
      <c r="BU14" s="17">
        <f>BU5*Assumptions!$B$32</f>
        <v/>
      </c>
      <c r="BV14" s="17">
        <f>BV5*Assumptions!$B$32</f>
        <v/>
      </c>
      <c r="BW14" s="17">
        <f>BW5*Assumptions!$B$32</f>
        <v/>
      </c>
    </row>
    <row r="15">
      <c r="A15" s="1" t="inlineStr">
        <is>
          <t>Total revenue</t>
        </is>
      </c>
      <c r="D15" s="28">
        <f>D13+D14</f>
        <v/>
      </c>
      <c r="E15" s="28">
        <f>E13+E14</f>
        <v/>
      </c>
      <c r="F15" s="28">
        <f>F13+F14</f>
        <v/>
      </c>
      <c r="G15" s="28">
        <f>G13+G14</f>
        <v/>
      </c>
      <c r="H15" s="28">
        <f>H13+H14</f>
        <v/>
      </c>
      <c r="I15" s="28">
        <f>I13+I14</f>
        <v/>
      </c>
      <c r="J15" s="28">
        <f>J13+J14</f>
        <v/>
      </c>
      <c r="K15" s="28">
        <f>K13+K14</f>
        <v/>
      </c>
      <c r="L15" s="28">
        <f>L13+L14</f>
        <v/>
      </c>
      <c r="M15" s="28">
        <f>M13+M14</f>
        <v/>
      </c>
      <c r="N15" s="28">
        <f>N13+N14</f>
        <v/>
      </c>
      <c r="O15" s="28">
        <f>O13+O14</f>
        <v/>
      </c>
      <c r="P15" s="28">
        <f>P13+P14</f>
        <v/>
      </c>
      <c r="Q15" s="28">
        <f>Q13+Q14</f>
        <v/>
      </c>
      <c r="R15" s="28">
        <f>R13+R14</f>
        <v/>
      </c>
      <c r="S15" s="28">
        <f>S13+S14</f>
        <v/>
      </c>
      <c r="T15" s="28">
        <f>T13+T14</f>
        <v/>
      </c>
      <c r="U15" s="28">
        <f>U13+U14</f>
        <v/>
      </c>
      <c r="V15" s="28">
        <f>V13+V14</f>
        <v/>
      </c>
      <c r="W15" s="28">
        <f>W13+W14</f>
        <v/>
      </c>
      <c r="X15" s="28">
        <f>X13+X14</f>
        <v/>
      </c>
      <c r="Y15" s="28">
        <f>Y13+Y14</f>
        <v/>
      </c>
      <c r="Z15" s="28">
        <f>Z13+Z14</f>
        <v/>
      </c>
      <c r="AA15" s="28">
        <f>AA13+AA14</f>
        <v/>
      </c>
      <c r="AB15" s="28">
        <f>AB13+AB14</f>
        <v/>
      </c>
      <c r="AC15" s="28">
        <f>AC13+AC14</f>
        <v/>
      </c>
      <c r="AD15" s="28">
        <f>AD13+AD14</f>
        <v/>
      </c>
      <c r="AE15" s="28">
        <f>AE13+AE14</f>
        <v/>
      </c>
      <c r="AF15" s="28">
        <f>AF13+AF14</f>
        <v/>
      </c>
      <c r="AG15" s="28">
        <f>AG13+AG14</f>
        <v/>
      </c>
      <c r="AH15" s="28">
        <f>AH13+AH14</f>
        <v/>
      </c>
      <c r="AI15" s="28">
        <f>AI13+AI14</f>
        <v/>
      </c>
      <c r="AJ15" s="28">
        <f>AJ13+AJ14</f>
        <v/>
      </c>
      <c r="AK15" s="28">
        <f>AK13+AK14</f>
        <v/>
      </c>
      <c r="AL15" s="28">
        <f>AL13+AL14</f>
        <v/>
      </c>
      <c r="AM15" s="28">
        <f>AM13+AM14</f>
        <v/>
      </c>
      <c r="AN15" s="28">
        <f>AN13+AN14</f>
        <v/>
      </c>
      <c r="AO15" s="28">
        <f>AO13+AO14</f>
        <v/>
      </c>
      <c r="AP15" s="28">
        <f>AP13+AP14</f>
        <v/>
      </c>
      <c r="AQ15" s="28">
        <f>AQ13+AQ14</f>
        <v/>
      </c>
      <c r="AR15" s="28">
        <f>AR13+AR14</f>
        <v/>
      </c>
      <c r="AS15" s="28">
        <f>AS13+AS14</f>
        <v/>
      </c>
      <c r="AT15" s="28">
        <f>AT13+AT14</f>
        <v/>
      </c>
      <c r="AU15" s="28">
        <f>AU13+AU14</f>
        <v/>
      </c>
      <c r="AV15" s="28">
        <f>AV13+AV14</f>
        <v/>
      </c>
      <c r="AW15" s="28">
        <f>AW13+AW14</f>
        <v/>
      </c>
      <c r="AX15" s="28">
        <f>AX13+AX14</f>
        <v/>
      </c>
      <c r="AY15" s="28">
        <f>AY13+AY14</f>
        <v/>
      </c>
      <c r="AZ15" s="28">
        <f>AZ13+AZ14</f>
        <v/>
      </c>
      <c r="BA15" s="28">
        <f>BA13+BA14</f>
        <v/>
      </c>
      <c r="BB15" s="28">
        <f>BB13+BB14</f>
        <v/>
      </c>
      <c r="BC15" s="28">
        <f>BC13+BC14</f>
        <v/>
      </c>
      <c r="BD15" s="28">
        <f>BD13+BD14</f>
        <v/>
      </c>
      <c r="BE15" s="28">
        <f>BE13+BE14</f>
        <v/>
      </c>
      <c r="BF15" s="28">
        <f>BF13+BF14</f>
        <v/>
      </c>
      <c r="BG15" s="28">
        <f>BG13+BG14</f>
        <v/>
      </c>
      <c r="BH15" s="28">
        <f>BH13+BH14</f>
        <v/>
      </c>
      <c r="BI15" s="28">
        <f>BI13+BI14</f>
        <v/>
      </c>
      <c r="BJ15" s="28">
        <f>BJ13+BJ14</f>
        <v/>
      </c>
      <c r="BK15" s="28">
        <f>BK13+BK14</f>
        <v/>
      </c>
      <c r="BL15" s="28">
        <f>BL13+BL14</f>
        <v/>
      </c>
      <c r="BM15" s="28">
        <f>BM13+BM14</f>
        <v/>
      </c>
      <c r="BN15" s="28">
        <f>BN13+BN14</f>
        <v/>
      </c>
      <c r="BO15" s="28">
        <f>BO13+BO14</f>
        <v/>
      </c>
      <c r="BP15" s="28">
        <f>BP13+BP14</f>
        <v/>
      </c>
      <c r="BQ15" s="28">
        <f>BQ13+BQ14</f>
        <v/>
      </c>
      <c r="BR15" s="28">
        <f>BR13+BR14</f>
        <v/>
      </c>
      <c r="BS15" s="28">
        <f>BS13+BS14</f>
        <v/>
      </c>
      <c r="BT15" s="28">
        <f>BT13+BT14</f>
        <v/>
      </c>
      <c r="BU15" s="28">
        <f>BU13+BU14</f>
        <v/>
      </c>
      <c r="BV15" s="28">
        <f>BV13+BV14</f>
        <v/>
      </c>
      <c r="BW15" s="28">
        <f>BW13+BW14</f>
        <v/>
      </c>
    </row>
    <row r="17">
      <c r="A17" s="97" t="inlineStr">
        <is>
          <t>COST OF SERVICE</t>
        </is>
      </c>
    </row>
    <row r="18">
      <c r="A18" t="inlineStr">
        <is>
          <t>Claims expense (active × claims reserve / 12)</t>
        </is>
      </c>
      <c r="D18" s="17">
        <f>IF(1&lt;Assumptions!$B$25,0,D6*Assumptions!$B$24/12)</f>
        <v/>
      </c>
      <c r="E18" s="17">
        <f>IF(2&lt;Assumptions!$B$25,0,E6*Assumptions!$B$24/12)</f>
        <v/>
      </c>
      <c r="F18" s="17">
        <f>IF(3&lt;Assumptions!$B$25,0,F6*Assumptions!$B$24/12)</f>
        <v/>
      </c>
      <c r="G18" s="17">
        <f>IF(4&lt;Assumptions!$B$25,0,G6*Assumptions!$B$24/12)</f>
        <v/>
      </c>
      <c r="H18" s="17">
        <f>IF(5&lt;Assumptions!$B$25,0,H6*Assumptions!$B$24/12)</f>
        <v/>
      </c>
      <c r="I18" s="17">
        <f>IF(6&lt;Assumptions!$B$25,0,I6*Assumptions!$B$24/12)</f>
        <v/>
      </c>
      <c r="J18" s="17">
        <f>IF(7&lt;Assumptions!$B$25,0,J6*Assumptions!$B$24/12)</f>
        <v/>
      </c>
      <c r="K18" s="17">
        <f>IF(8&lt;Assumptions!$B$25,0,K6*Assumptions!$B$24/12)</f>
        <v/>
      </c>
      <c r="L18" s="17">
        <f>IF(9&lt;Assumptions!$B$25,0,L6*Assumptions!$B$24/12)</f>
        <v/>
      </c>
      <c r="M18" s="17">
        <f>IF(10&lt;Assumptions!$B$25,0,M6*Assumptions!$B$24/12)</f>
        <v/>
      </c>
      <c r="N18" s="17">
        <f>IF(11&lt;Assumptions!$B$25,0,N6*Assumptions!$B$24/12)</f>
        <v/>
      </c>
      <c r="O18" s="17">
        <f>IF(12&lt;Assumptions!$B$25,0,O6*Assumptions!$B$24/12)</f>
        <v/>
      </c>
      <c r="P18" s="17">
        <f>IF(13&lt;Assumptions!$B$25,0,P6*Assumptions!$B$24/12)</f>
        <v/>
      </c>
      <c r="Q18" s="17">
        <f>IF(14&lt;Assumptions!$B$25,0,Q6*Assumptions!$B$24/12)</f>
        <v/>
      </c>
      <c r="R18" s="17">
        <f>IF(15&lt;Assumptions!$B$25,0,R6*Assumptions!$B$24/12)</f>
        <v/>
      </c>
      <c r="S18" s="17">
        <f>IF(16&lt;Assumptions!$B$25,0,S6*Assumptions!$B$24/12)</f>
        <v/>
      </c>
      <c r="T18" s="17">
        <f>IF(17&lt;Assumptions!$B$25,0,T6*Assumptions!$B$24/12)</f>
        <v/>
      </c>
      <c r="U18" s="17">
        <f>IF(18&lt;Assumptions!$B$25,0,U6*Assumptions!$B$24/12)</f>
        <v/>
      </c>
      <c r="V18" s="17">
        <f>IF(19&lt;Assumptions!$B$25,0,V6*Assumptions!$B$24/12)</f>
        <v/>
      </c>
      <c r="W18" s="17">
        <f>IF(20&lt;Assumptions!$B$25,0,W6*Assumptions!$B$24/12)</f>
        <v/>
      </c>
      <c r="X18" s="17">
        <f>IF(21&lt;Assumptions!$B$25,0,X6*Assumptions!$B$24/12)</f>
        <v/>
      </c>
      <c r="Y18" s="17">
        <f>IF(22&lt;Assumptions!$B$25,0,Y6*Assumptions!$B$24/12)</f>
        <v/>
      </c>
      <c r="Z18" s="17">
        <f>IF(23&lt;Assumptions!$B$25,0,Z6*Assumptions!$B$24/12)</f>
        <v/>
      </c>
      <c r="AA18" s="17">
        <f>IF(24&lt;Assumptions!$B$25,0,AA6*Assumptions!$B$24/12)</f>
        <v/>
      </c>
      <c r="AB18" s="17">
        <f>IF(25&lt;Assumptions!$B$25,0,AB6*Assumptions!$B$24/12)</f>
        <v/>
      </c>
      <c r="AC18" s="17">
        <f>IF(26&lt;Assumptions!$B$25,0,AC6*Assumptions!$B$24/12)</f>
        <v/>
      </c>
      <c r="AD18" s="17">
        <f>IF(27&lt;Assumptions!$B$25,0,AD6*Assumptions!$B$24/12)</f>
        <v/>
      </c>
      <c r="AE18" s="17">
        <f>IF(28&lt;Assumptions!$B$25,0,AE6*Assumptions!$B$24/12)</f>
        <v/>
      </c>
      <c r="AF18" s="17">
        <f>IF(29&lt;Assumptions!$B$25,0,AF6*Assumptions!$B$24/12)</f>
        <v/>
      </c>
      <c r="AG18" s="17">
        <f>IF(30&lt;Assumptions!$B$25,0,AG6*Assumptions!$B$24/12)</f>
        <v/>
      </c>
      <c r="AH18" s="17">
        <f>IF(31&lt;Assumptions!$B$25,0,AH6*Assumptions!$B$24/12)</f>
        <v/>
      </c>
      <c r="AI18" s="17">
        <f>IF(32&lt;Assumptions!$B$25,0,AI6*Assumptions!$B$24/12)</f>
        <v/>
      </c>
      <c r="AJ18" s="17">
        <f>IF(33&lt;Assumptions!$B$25,0,AJ6*Assumptions!$B$24/12)</f>
        <v/>
      </c>
      <c r="AK18" s="17">
        <f>IF(34&lt;Assumptions!$B$25,0,AK6*Assumptions!$B$24/12)</f>
        <v/>
      </c>
      <c r="AL18" s="17">
        <f>IF(35&lt;Assumptions!$B$25,0,AL6*Assumptions!$B$24/12)</f>
        <v/>
      </c>
      <c r="AM18" s="17">
        <f>IF(36&lt;Assumptions!$B$25,0,AM6*Assumptions!$B$24/12)</f>
        <v/>
      </c>
      <c r="AN18" s="17">
        <f>IF(37&lt;Assumptions!$B$25,0,AN6*Assumptions!$B$24/12)</f>
        <v/>
      </c>
      <c r="AO18" s="17">
        <f>IF(38&lt;Assumptions!$B$25,0,AO6*Assumptions!$B$24/12)</f>
        <v/>
      </c>
      <c r="AP18" s="17">
        <f>IF(39&lt;Assumptions!$B$25,0,AP6*Assumptions!$B$24/12)</f>
        <v/>
      </c>
      <c r="AQ18" s="17">
        <f>IF(40&lt;Assumptions!$B$25,0,AQ6*Assumptions!$B$24/12)</f>
        <v/>
      </c>
      <c r="AR18" s="17">
        <f>IF(41&lt;Assumptions!$B$25,0,AR6*Assumptions!$B$24/12)</f>
        <v/>
      </c>
      <c r="AS18" s="17">
        <f>IF(42&lt;Assumptions!$B$25,0,AS6*Assumptions!$B$24/12)</f>
        <v/>
      </c>
      <c r="AT18" s="17">
        <f>IF(43&lt;Assumptions!$B$25,0,AT6*Assumptions!$B$24/12)</f>
        <v/>
      </c>
      <c r="AU18" s="17">
        <f>IF(44&lt;Assumptions!$B$25,0,AU6*Assumptions!$B$24/12)</f>
        <v/>
      </c>
      <c r="AV18" s="17">
        <f>IF(45&lt;Assumptions!$B$25,0,AV6*Assumptions!$B$24/12)</f>
        <v/>
      </c>
      <c r="AW18" s="17">
        <f>IF(46&lt;Assumptions!$B$25,0,AW6*Assumptions!$B$24/12)</f>
        <v/>
      </c>
      <c r="AX18" s="17">
        <f>IF(47&lt;Assumptions!$B$25,0,AX6*Assumptions!$B$24/12)</f>
        <v/>
      </c>
      <c r="AY18" s="17">
        <f>IF(48&lt;Assumptions!$B$25,0,AY6*Assumptions!$B$24/12)</f>
        <v/>
      </c>
      <c r="AZ18" s="17">
        <f>IF(49&lt;Assumptions!$B$25,0,AZ6*Assumptions!$B$24/12)</f>
        <v/>
      </c>
      <c r="BA18" s="17">
        <f>IF(50&lt;Assumptions!$B$25,0,BA6*Assumptions!$B$24/12)</f>
        <v/>
      </c>
      <c r="BB18" s="17">
        <f>IF(51&lt;Assumptions!$B$25,0,BB6*Assumptions!$B$24/12)</f>
        <v/>
      </c>
      <c r="BC18" s="17">
        <f>IF(52&lt;Assumptions!$B$25,0,BC6*Assumptions!$B$24/12)</f>
        <v/>
      </c>
      <c r="BD18" s="17">
        <f>IF(53&lt;Assumptions!$B$25,0,BD6*Assumptions!$B$24/12)</f>
        <v/>
      </c>
      <c r="BE18" s="17">
        <f>IF(54&lt;Assumptions!$B$25,0,BE6*Assumptions!$B$24/12)</f>
        <v/>
      </c>
      <c r="BF18" s="17">
        <f>IF(55&lt;Assumptions!$B$25,0,BF6*Assumptions!$B$24/12)</f>
        <v/>
      </c>
      <c r="BG18" s="17">
        <f>IF(56&lt;Assumptions!$B$25,0,BG6*Assumptions!$B$24/12)</f>
        <v/>
      </c>
      <c r="BH18" s="17">
        <f>IF(57&lt;Assumptions!$B$25,0,BH6*Assumptions!$B$24/12)</f>
        <v/>
      </c>
      <c r="BI18" s="17">
        <f>IF(58&lt;Assumptions!$B$25,0,BI6*Assumptions!$B$24/12)</f>
        <v/>
      </c>
      <c r="BJ18" s="17">
        <f>IF(59&lt;Assumptions!$B$25,0,BJ6*Assumptions!$B$24/12)</f>
        <v/>
      </c>
      <c r="BK18" s="17">
        <f>IF(60&lt;Assumptions!$B$25,0,BK6*Assumptions!$B$24/12)</f>
        <v/>
      </c>
      <c r="BL18" s="17">
        <f>IF(61&lt;Assumptions!$B$25,0,BL6*Assumptions!$B$24/12)</f>
        <v/>
      </c>
      <c r="BM18" s="17">
        <f>IF(62&lt;Assumptions!$B$25,0,BM6*Assumptions!$B$24/12)</f>
        <v/>
      </c>
      <c r="BN18" s="17">
        <f>IF(63&lt;Assumptions!$B$25,0,BN6*Assumptions!$B$24/12)</f>
        <v/>
      </c>
      <c r="BO18" s="17">
        <f>IF(64&lt;Assumptions!$B$25,0,BO6*Assumptions!$B$24/12)</f>
        <v/>
      </c>
      <c r="BP18" s="17">
        <f>IF(65&lt;Assumptions!$B$25,0,BP6*Assumptions!$B$24/12)</f>
        <v/>
      </c>
      <c r="BQ18" s="17">
        <f>IF(66&lt;Assumptions!$B$25,0,BQ6*Assumptions!$B$24/12)</f>
        <v/>
      </c>
      <c r="BR18" s="17">
        <f>IF(67&lt;Assumptions!$B$25,0,BR6*Assumptions!$B$24/12)</f>
        <v/>
      </c>
      <c r="BS18" s="17">
        <f>IF(68&lt;Assumptions!$B$25,0,BS6*Assumptions!$B$24/12)</f>
        <v/>
      </c>
      <c r="BT18" s="17">
        <f>IF(69&lt;Assumptions!$B$25,0,BT6*Assumptions!$B$24/12)</f>
        <v/>
      </c>
      <c r="BU18" s="17">
        <f>IF(70&lt;Assumptions!$B$25,0,BU6*Assumptions!$B$24/12)</f>
        <v/>
      </c>
      <c r="BV18" s="17">
        <f>IF(71&lt;Assumptions!$B$25,0,BV6*Assumptions!$B$24/12)</f>
        <v/>
      </c>
      <c r="BW18" s="17">
        <f>IF(72&lt;Assumptions!$B$25,0,BW6*Assumptions!$B$24/12)</f>
        <v/>
      </c>
    </row>
    <row r="19">
      <c r="A19" t="inlineStr">
        <is>
          <t>Contract insurance (Lloyd's premium)</t>
        </is>
      </c>
      <c r="D19" s="17">
        <f>D5*Assumptions!$B$20</f>
        <v/>
      </c>
      <c r="E19" s="17">
        <f>E5*Assumptions!$B$20</f>
        <v/>
      </c>
      <c r="F19" s="17">
        <f>F5*Assumptions!$B$20</f>
        <v/>
      </c>
      <c r="G19" s="17">
        <f>G5*Assumptions!$B$20</f>
        <v/>
      </c>
      <c r="H19" s="17">
        <f>H5*Assumptions!$B$20</f>
        <v/>
      </c>
      <c r="I19" s="17">
        <f>I5*Assumptions!$B$20</f>
        <v/>
      </c>
      <c r="J19" s="17">
        <f>J5*Assumptions!$B$20</f>
        <v/>
      </c>
      <c r="K19" s="17">
        <f>K5*Assumptions!$B$20</f>
        <v/>
      </c>
      <c r="L19" s="17">
        <f>L5*Assumptions!$B$20</f>
        <v/>
      </c>
      <c r="M19" s="17">
        <f>M5*Assumptions!$B$20</f>
        <v/>
      </c>
      <c r="N19" s="17">
        <f>N5*Assumptions!$B$20</f>
        <v/>
      </c>
      <c r="O19" s="17">
        <f>O5*Assumptions!$B$20</f>
        <v/>
      </c>
      <c r="P19" s="17">
        <f>P5*Assumptions!$B$20</f>
        <v/>
      </c>
      <c r="Q19" s="17">
        <f>Q5*Assumptions!$B$20</f>
        <v/>
      </c>
      <c r="R19" s="17">
        <f>R5*Assumptions!$B$20</f>
        <v/>
      </c>
      <c r="S19" s="17">
        <f>S5*Assumptions!$B$20</f>
        <v/>
      </c>
      <c r="T19" s="17">
        <f>T5*Assumptions!$B$20</f>
        <v/>
      </c>
      <c r="U19" s="17">
        <f>U5*Assumptions!$B$20</f>
        <v/>
      </c>
      <c r="V19" s="17">
        <f>V5*Assumptions!$B$20</f>
        <v/>
      </c>
      <c r="W19" s="17">
        <f>W5*Assumptions!$B$20</f>
        <v/>
      </c>
      <c r="X19" s="17">
        <f>X5*Assumptions!$B$20</f>
        <v/>
      </c>
      <c r="Y19" s="17">
        <f>Y5*Assumptions!$B$20</f>
        <v/>
      </c>
      <c r="Z19" s="17">
        <f>Z5*Assumptions!$B$20</f>
        <v/>
      </c>
      <c r="AA19" s="17">
        <f>AA5*Assumptions!$B$20</f>
        <v/>
      </c>
      <c r="AB19" s="17">
        <f>AB5*Assumptions!$B$20</f>
        <v/>
      </c>
      <c r="AC19" s="17">
        <f>AC5*Assumptions!$B$20</f>
        <v/>
      </c>
      <c r="AD19" s="17">
        <f>AD5*Assumptions!$B$20</f>
        <v/>
      </c>
      <c r="AE19" s="17">
        <f>AE5*Assumptions!$B$20</f>
        <v/>
      </c>
      <c r="AF19" s="17">
        <f>AF5*Assumptions!$B$20</f>
        <v/>
      </c>
      <c r="AG19" s="17">
        <f>AG5*Assumptions!$B$20</f>
        <v/>
      </c>
      <c r="AH19" s="17">
        <f>AH5*Assumptions!$B$20</f>
        <v/>
      </c>
      <c r="AI19" s="17">
        <f>AI5*Assumptions!$B$20</f>
        <v/>
      </c>
      <c r="AJ19" s="17">
        <f>AJ5*Assumptions!$B$20</f>
        <v/>
      </c>
      <c r="AK19" s="17">
        <f>AK5*Assumptions!$B$20</f>
        <v/>
      </c>
      <c r="AL19" s="17">
        <f>AL5*Assumptions!$B$20</f>
        <v/>
      </c>
      <c r="AM19" s="17">
        <f>AM5*Assumptions!$B$20</f>
        <v/>
      </c>
      <c r="AN19" s="17">
        <f>AN5*Assumptions!$B$20</f>
        <v/>
      </c>
      <c r="AO19" s="17">
        <f>AO5*Assumptions!$B$20</f>
        <v/>
      </c>
      <c r="AP19" s="17">
        <f>AP5*Assumptions!$B$20</f>
        <v/>
      </c>
      <c r="AQ19" s="17">
        <f>AQ5*Assumptions!$B$20</f>
        <v/>
      </c>
      <c r="AR19" s="17">
        <f>AR5*Assumptions!$B$20</f>
        <v/>
      </c>
      <c r="AS19" s="17">
        <f>AS5*Assumptions!$B$20</f>
        <v/>
      </c>
      <c r="AT19" s="17">
        <f>AT5*Assumptions!$B$20</f>
        <v/>
      </c>
      <c r="AU19" s="17">
        <f>AU5*Assumptions!$B$20</f>
        <v/>
      </c>
      <c r="AV19" s="17">
        <f>AV5*Assumptions!$B$20</f>
        <v/>
      </c>
      <c r="AW19" s="17">
        <f>AW5*Assumptions!$B$20</f>
        <v/>
      </c>
      <c r="AX19" s="17">
        <f>AX5*Assumptions!$B$20</f>
        <v/>
      </c>
      <c r="AY19" s="17">
        <f>AY5*Assumptions!$B$20</f>
        <v/>
      </c>
      <c r="AZ19" s="17">
        <f>AZ5*Assumptions!$B$20</f>
        <v/>
      </c>
      <c r="BA19" s="17">
        <f>BA5*Assumptions!$B$20</f>
        <v/>
      </c>
      <c r="BB19" s="17">
        <f>BB5*Assumptions!$B$20</f>
        <v/>
      </c>
      <c r="BC19" s="17">
        <f>BC5*Assumptions!$B$20</f>
        <v/>
      </c>
      <c r="BD19" s="17">
        <f>BD5*Assumptions!$B$20</f>
        <v/>
      </c>
      <c r="BE19" s="17">
        <f>BE5*Assumptions!$B$20</f>
        <v/>
      </c>
      <c r="BF19" s="17">
        <f>BF5*Assumptions!$B$20</f>
        <v/>
      </c>
      <c r="BG19" s="17">
        <f>BG5*Assumptions!$B$20</f>
        <v/>
      </c>
      <c r="BH19" s="17">
        <f>BH5*Assumptions!$B$20</f>
        <v/>
      </c>
      <c r="BI19" s="17">
        <f>BI5*Assumptions!$B$20</f>
        <v/>
      </c>
      <c r="BJ19" s="17">
        <f>BJ5*Assumptions!$B$20</f>
        <v/>
      </c>
      <c r="BK19" s="17">
        <f>BK5*Assumptions!$B$20</f>
        <v/>
      </c>
      <c r="BL19" s="17">
        <f>BL5*Assumptions!$B$20</f>
        <v/>
      </c>
      <c r="BM19" s="17">
        <f>BM5*Assumptions!$B$20</f>
        <v/>
      </c>
      <c r="BN19" s="17">
        <f>BN5*Assumptions!$B$20</f>
        <v/>
      </c>
      <c r="BO19" s="17">
        <f>BO5*Assumptions!$B$20</f>
        <v/>
      </c>
      <c r="BP19" s="17">
        <f>BP5*Assumptions!$B$20</f>
        <v/>
      </c>
      <c r="BQ19" s="17">
        <f>BQ5*Assumptions!$B$20</f>
        <v/>
      </c>
      <c r="BR19" s="17">
        <f>BR5*Assumptions!$B$20</f>
        <v/>
      </c>
      <c r="BS19" s="17">
        <f>BS5*Assumptions!$B$20</f>
        <v/>
      </c>
      <c r="BT19" s="17">
        <f>BT5*Assumptions!$B$20</f>
        <v/>
      </c>
      <c r="BU19" s="17">
        <f>BU5*Assumptions!$B$20</f>
        <v/>
      </c>
      <c r="BV19" s="17">
        <f>BV5*Assumptions!$B$20</f>
        <v/>
      </c>
      <c r="BW19" s="17">
        <f>BW5*Assumptions!$B$20</f>
        <v/>
      </c>
    </row>
    <row r="20">
      <c r="A20" t="inlineStr">
        <is>
          <t>Finance fees</t>
        </is>
      </c>
      <c r="D20" s="17">
        <f>D6*D12*Assumptions!$B$26</f>
        <v/>
      </c>
      <c r="E20" s="17">
        <f>E6*E12*Assumptions!$B$26</f>
        <v/>
      </c>
      <c r="F20" s="17">
        <f>F6*F12*Assumptions!$B$26</f>
        <v/>
      </c>
      <c r="G20" s="17">
        <f>G6*G12*Assumptions!$B$26</f>
        <v/>
      </c>
      <c r="H20" s="17">
        <f>H6*H12*Assumptions!$B$26</f>
        <v/>
      </c>
      <c r="I20" s="17">
        <f>I6*I12*Assumptions!$B$26</f>
        <v/>
      </c>
      <c r="J20" s="17">
        <f>J6*J12*Assumptions!$B$26</f>
        <v/>
      </c>
      <c r="K20" s="17">
        <f>K6*K12*Assumptions!$B$26</f>
        <v/>
      </c>
      <c r="L20" s="17">
        <f>L6*L12*Assumptions!$B$26</f>
        <v/>
      </c>
      <c r="M20" s="17">
        <f>M6*M12*Assumptions!$B$26</f>
        <v/>
      </c>
      <c r="N20" s="17">
        <f>N6*N12*Assumptions!$B$26</f>
        <v/>
      </c>
      <c r="O20" s="17">
        <f>O6*O12*Assumptions!$B$26</f>
        <v/>
      </c>
      <c r="P20" s="17">
        <f>P6*P12*Assumptions!$B$26</f>
        <v/>
      </c>
      <c r="Q20" s="17">
        <f>Q6*Q12*Assumptions!$B$26</f>
        <v/>
      </c>
      <c r="R20" s="17">
        <f>R6*R12*Assumptions!$B$26</f>
        <v/>
      </c>
      <c r="S20" s="17">
        <f>S6*S12*Assumptions!$B$26</f>
        <v/>
      </c>
      <c r="T20" s="17">
        <f>T6*T12*Assumptions!$B$26</f>
        <v/>
      </c>
      <c r="U20" s="17">
        <f>U6*U12*Assumptions!$B$26</f>
        <v/>
      </c>
      <c r="V20" s="17">
        <f>V6*V12*Assumptions!$B$26</f>
        <v/>
      </c>
      <c r="W20" s="17">
        <f>W6*W12*Assumptions!$B$26</f>
        <v/>
      </c>
      <c r="X20" s="17">
        <f>X6*X12*Assumptions!$B$26</f>
        <v/>
      </c>
      <c r="Y20" s="17">
        <f>Y6*Y12*Assumptions!$B$26</f>
        <v/>
      </c>
      <c r="Z20" s="17">
        <f>Z6*Z12*Assumptions!$B$26</f>
        <v/>
      </c>
      <c r="AA20" s="17">
        <f>AA6*AA12*Assumptions!$B$26</f>
        <v/>
      </c>
      <c r="AB20" s="17">
        <f>AB6*AB12*Assumptions!$B$26</f>
        <v/>
      </c>
      <c r="AC20" s="17">
        <f>AC6*AC12*Assumptions!$B$26</f>
        <v/>
      </c>
      <c r="AD20" s="17">
        <f>AD6*AD12*Assumptions!$B$26</f>
        <v/>
      </c>
      <c r="AE20" s="17">
        <f>AE6*AE12*Assumptions!$B$26</f>
        <v/>
      </c>
      <c r="AF20" s="17">
        <f>AF6*AF12*Assumptions!$B$26</f>
        <v/>
      </c>
      <c r="AG20" s="17">
        <f>AG6*AG12*Assumptions!$B$26</f>
        <v/>
      </c>
      <c r="AH20" s="17">
        <f>AH6*AH12*Assumptions!$B$26</f>
        <v/>
      </c>
      <c r="AI20" s="17">
        <f>AI6*AI12*Assumptions!$B$26</f>
        <v/>
      </c>
      <c r="AJ20" s="17">
        <f>AJ6*AJ12*Assumptions!$B$26</f>
        <v/>
      </c>
      <c r="AK20" s="17">
        <f>AK6*AK12*Assumptions!$B$26</f>
        <v/>
      </c>
      <c r="AL20" s="17">
        <f>AL6*AL12*Assumptions!$B$26</f>
        <v/>
      </c>
      <c r="AM20" s="17">
        <f>AM6*AM12*Assumptions!$B$26</f>
        <v/>
      </c>
      <c r="AN20" s="17">
        <f>AN6*AN12*Assumptions!$B$26</f>
        <v/>
      </c>
      <c r="AO20" s="17">
        <f>AO6*AO12*Assumptions!$B$26</f>
        <v/>
      </c>
      <c r="AP20" s="17">
        <f>AP6*AP12*Assumptions!$B$26</f>
        <v/>
      </c>
      <c r="AQ20" s="17">
        <f>AQ6*AQ12*Assumptions!$B$26</f>
        <v/>
      </c>
      <c r="AR20" s="17">
        <f>AR6*AR12*Assumptions!$B$26</f>
        <v/>
      </c>
      <c r="AS20" s="17">
        <f>AS6*AS12*Assumptions!$B$26</f>
        <v/>
      </c>
      <c r="AT20" s="17">
        <f>AT6*AT12*Assumptions!$B$26</f>
        <v/>
      </c>
      <c r="AU20" s="17">
        <f>AU6*AU12*Assumptions!$B$26</f>
        <v/>
      </c>
      <c r="AV20" s="17">
        <f>AV6*AV12*Assumptions!$B$26</f>
        <v/>
      </c>
      <c r="AW20" s="17">
        <f>AW6*AW12*Assumptions!$B$26</f>
        <v/>
      </c>
      <c r="AX20" s="17">
        <f>AX6*AX12*Assumptions!$B$26</f>
        <v/>
      </c>
      <c r="AY20" s="17">
        <f>AY6*AY12*Assumptions!$B$26</f>
        <v/>
      </c>
      <c r="AZ20" s="17">
        <f>AZ6*AZ12*Assumptions!$B$26</f>
        <v/>
      </c>
      <c r="BA20" s="17">
        <f>BA6*BA12*Assumptions!$B$26</f>
        <v/>
      </c>
      <c r="BB20" s="17">
        <f>BB6*BB12*Assumptions!$B$26</f>
        <v/>
      </c>
      <c r="BC20" s="17">
        <f>BC6*BC12*Assumptions!$B$26</f>
        <v/>
      </c>
      <c r="BD20" s="17">
        <f>BD6*BD12*Assumptions!$B$26</f>
        <v/>
      </c>
      <c r="BE20" s="17">
        <f>BE6*BE12*Assumptions!$B$26</f>
        <v/>
      </c>
      <c r="BF20" s="17">
        <f>BF6*BF12*Assumptions!$B$26</f>
        <v/>
      </c>
      <c r="BG20" s="17">
        <f>BG6*BG12*Assumptions!$B$26</f>
        <v/>
      </c>
      <c r="BH20" s="17">
        <f>BH6*BH12*Assumptions!$B$26</f>
        <v/>
      </c>
      <c r="BI20" s="17">
        <f>BI6*BI12*Assumptions!$B$26</f>
        <v/>
      </c>
      <c r="BJ20" s="17">
        <f>BJ6*BJ12*Assumptions!$B$26</f>
        <v/>
      </c>
      <c r="BK20" s="17">
        <f>BK6*BK12*Assumptions!$B$26</f>
        <v/>
      </c>
      <c r="BL20" s="17">
        <f>BL6*BL12*Assumptions!$B$26</f>
        <v/>
      </c>
      <c r="BM20" s="17">
        <f>BM6*BM12*Assumptions!$B$26</f>
        <v/>
      </c>
      <c r="BN20" s="17">
        <f>BN6*BN12*Assumptions!$B$26</f>
        <v/>
      </c>
      <c r="BO20" s="17">
        <f>BO6*BO12*Assumptions!$B$26</f>
        <v/>
      </c>
      <c r="BP20" s="17">
        <f>BP6*BP12*Assumptions!$B$26</f>
        <v/>
      </c>
      <c r="BQ20" s="17">
        <f>BQ6*BQ12*Assumptions!$B$26</f>
        <v/>
      </c>
      <c r="BR20" s="17">
        <f>BR6*BR12*Assumptions!$B$26</f>
        <v/>
      </c>
      <c r="BS20" s="17">
        <f>BS6*BS12*Assumptions!$B$26</f>
        <v/>
      </c>
      <c r="BT20" s="17">
        <f>BT6*BT12*Assumptions!$B$26</f>
        <v/>
      </c>
      <c r="BU20" s="17">
        <f>BU6*BU12*Assumptions!$B$26</f>
        <v/>
      </c>
      <c r="BV20" s="17">
        <f>BV6*BV12*Assumptions!$B$26</f>
        <v/>
      </c>
      <c r="BW20" s="17">
        <f>BW6*BW12*Assumptions!$B$26</f>
        <v/>
      </c>
    </row>
    <row r="22">
      <c r="A22" t="inlineStr">
        <is>
          <t>Fulfillment — postage + printing</t>
        </is>
      </c>
      <c r="D22" s="17">
        <f>D5*(Assumptions!$B$29+Assumptions!$B$30)</f>
        <v/>
      </c>
      <c r="E22" s="17">
        <f>E5*(Assumptions!$B$29+Assumptions!$B$30)</f>
        <v/>
      </c>
      <c r="F22" s="17">
        <f>F5*(Assumptions!$B$29+Assumptions!$B$30)</f>
        <v/>
      </c>
      <c r="G22" s="17">
        <f>G5*(Assumptions!$B$29+Assumptions!$B$30)</f>
        <v/>
      </c>
      <c r="H22" s="17">
        <f>H5*(Assumptions!$B$29+Assumptions!$B$30)</f>
        <v/>
      </c>
      <c r="I22" s="17">
        <f>I5*(Assumptions!$B$29+Assumptions!$B$30)</f>
        <v/>
      </c>
      <c r="J22" s="17">
        <f>J5*(Assumptions!$B$29+Assumptions!$B$30)</f>
        <v/>
      </c>
      <c r="K22" s="17">
        <f>K5*(Assumptions!$B$29+Assumptions!$B$30)</f>
        <v/>
      </c>
      <c r="L22" s="17">
        <f>L5*(Assumptions!$B$29+Assumptions!$B$30)</f>
        <v/>
      </c>
      <c r="M22" s="17">
        <f>M5*(Assumptions!$B$29+Assumptions!$B$30)</f>
        <v/>
      </c>
      <c r="N22" s="17">
        <f>N5*(Assumptions!$B$29+Assumptions!$B$30)</f>
        <v/>
      </c>
      <c r="O22" s="17">
        <f>O5*(Assumptions!$B$29+Assumptions!$B$30)</f>
        <v/>
      </c>
      <c r="P22" s="17">
        <f>P5*(Assumptions!$B$29+Assumptions!$B$30)</f>
        <v/>
      </c>
      <c r="Q22" s="17">
        <f>Q5*(Assumptions!$B$29+Assumptions!$B$30)</f>
        <v/>
      </c>
      <c r="R22" s="17">
        <f>R5*(Assumptions!$B$29+Assumptions!$B$30)</f>
        <v/>
      </c>
      <c r="S22" s="17">
        <f>S5*(Assumptions!$B$29+Assumptions!$B$30)</f>
        <v/>
      </c>
      <c r="T22" s="17">
        <f>T5*(Assumptions!$B$29+Assumptions!$B$30)</f>
        <v/>
      </c>
      <c r="U22" s="17">
        <f>U5*(Assumptions!$B$29+Assumptions!$B$30)</f>
        <v/>
      </c>
      <c r="V22" s="17">
        <f>V5*(Assumptions!$B$29+Assumptions!$B$30)</f>
        <v/>
      </c>
      <c r="W22" s="17">
        <f>W5*(Assumptions!$B$29+Assumptions!$B$30)</f>
        <v/>
      </c>
      <c r="X22" s="17">
        <f>X5*(Assumptions!$B$29+Assumptions!$B$30)</f>
        <v/>
      </c>
      <c r="Y22" s="17">
        <f>Y5*(Assumptions!$B$29+Assumptions!$B$30)</f>
        <v/>
      </c>
      <c r="Z22" s="17">
        <f>Z5*(Assumptions!$B$29+Assumptions!$B$30)</f>
        <v/>
      </c>
      <c r="AA22" s="17">
        <f>AA5*(Assumptions!$B$29+Assumptions!$B$30)</f>
        <v/>
      </c>
      <c r="AB22" s="17">
        <f>AB5*(Assumptions!$B$29+Assumptions!$B$30)</f>
        <v/>
      </c>
      <c r="AC22" s="17">
        <f>AC5*(Assumptions!$B$29+Assumptions!$B$30)</f>
        <v/>
      </c>
      <c r="AD22" s="17">
        <f>AD5*(Assumptions!$B$29+Assumptions!$B$30)</f>
        <v/>
      </c>
      <c r="AE22" s="17">
        <f>AE5*(Assumptions!$B$29+Assumptions!$B$30)</f>
        <v/>
      </c>
      <c r="AF22" s="17">
        <f>AF5*(Assumptions!$B$29+Assumptions!$B$30)</f>
        <v/>
      </c>
      <c r="AG22" s="17">
        <f>AG5*(Assumptions!$B$29+Assumptions!$B$30)</f>
        <v/>
      </c>
      <c r="AH22" s="17">
        <f>AH5*(Assumptions!$B$29+Assumptions!$B$30)</f>
        <v/>
      </c>
      <c r="AI22" s="17">
        <f>AI5*(Assumptions!$B$29+Assumptions!$B$30)</f>
        <v/>
      </c>
      <c r="AJ22" s="17">
        <f>AJ5*(Assumptions!$B$29+Assumptions!$B$30)</f>
        <v/>
      </c>
      <c r="AK22" s="17">
        <f>AK5*(Assumptions!$B$29+Assumptions!$B$30)</f>
        <v/>
      </c>
      <c r="AL22" s="17">
        <f>AL5*(Assumptions!$B$29+Assumptions!$B$30)</f>
        <v/>
      </c>
      <c r="AM22" s="17">
        <f>AM5*(Assumptions!$B$29+Assumptions!$B$30)</f>
        <v/>
      </c>
      <c r="AN22" s="17">
        <f>AN5*(Assumptions!$B$29+Assumptions!$B$30)</f>
        <v/>
      </c>
      <c r="AO22" s="17">
        <f>AO5*(Assumptions!$B$29+Assumptions!$B$30)</f>
        <v/>
      </c>
      <c r="AP22" s="17">
        <f>AP5*(Assumptions!$B$29+Assumptions!$B$30)</f>
        <v/>
      </c>
      <c r="AQ22" s="17">
        <f>AQ5*(Assumptions!$B$29+Assumptions!$B$30)</f>
        <v/>
      </c>
      <c r="AR22" s="17">
        <f>AR5*(Assumptions!$B$29+Assumptions!$B$30)</f>
        <v/>
      </c>
      <c r="AS22" s="17">
        <f>AS5*(Assumptions!$B$29+Assumptions!$B$30)</f>
        <v/>
      </c>
      <c r="AT22" s="17">
        <f>AT5*(Assumptions!$B$29+Assumptions!$B$30)</f>
        <v/>
      </c>
      <c r="AU22" s="17">
        <f>AU5*(Assumptions!$B$29+Assumptions!$B$30)</f>
        <v/>
      </c>
      <c r="AV22" s="17">
        <f>AV5*(Assumptions!$B$29+Assumptions!$B$30)</f>
        <v/>
      </c>
      <c r="AW22" s="17">
        <f>AW5*(Assumptions!$B$29+Assumptions!$B$30)</f>
        <v/>
      </c>
      <c r="AX22" s="17">
        <f>AX5*(Assumptions!$B$29+Assumptions!$B$30)</f>
        <v/>
      </c>
      <c r="AY22" s="17">
        <f>AY5*(Assumptions!$B$29+Assumptions!$B$30)</f>
        <v/>
      </c>
      <c r="AZ22" s="17">
        <f>AZ5*(Assumptions!$B$29+Assumptions!$B$30)</f>
        <v/>
      </c>
      <c r="BA22" s="17">
        <f>BA5*(Assumptions!$B$29+Assumptions!$B$30)</f>
        <v/>
      </c>
      <c r="BB22" s="17">
        <f>BB5*(Assumptions!$B$29+Assumptions!$B$30)</f>
        <v/>
      </c>
      <c r="BC22" s="17">
        <f>BC5*(Assumptions!$B$29+Assumptions!$B$30)</f>
        <v/>
      </c>
      <c r="BD22" s="17">
        <f>BD5*(Assumptions!$B$29+Assumptions!$B$30)</f>
        <v/>
      </c>
      <c r="BE22" s="17">
        <f>BE5*(Assumptions!$B$29+Assumptions!$B$30)</f>
        <v/>
      </c>
      <c r="BF22" s="17">
        <f>BF5*(Assumptions!$B$29+Assumptions!$B$30)</f>
        <v/>
      </c>
      <c r="BG22" s="17">
        <f>BG5*(Assumptions!$B$29+Assumptions!$B$30)</f>
        <v/>
      </c>
      <c r="BH22" s="17">
        <f>BH5*(Assumptions!$B$29+Assumptions!$B$30)</f>
        <v/>
      </c>
      <c r="BI22" s="17">
        <f>BI5*(Assumptions!$B$29+Assumptions!$B$30)</f>
        <v/>
      </c>
      <c r="BJ22" s="17">
        <f>BJ5*(Assumptions!$B$29+Assumptions!$B$30)</f>
        <v/>
      </c>
      <c r="BK22" s="17">
        <f>BK5*(Assumptions!$B$29+Assumptions!$B$30)</f>
        <v/>
      </c>
      <c r="BL22" s="17">
        <f>BL5*(Assumptions!$B$29+Assumptions!$B$30)</f>
        <v/>
      </c>
      <c r="BM22" s="17">
        <f>BM5*(Assumptions!$B$29+Assumptions!$B$30)</f>
        <v/>
      </c>
      <c r="BN22" s="17">
        <f>BN5*(Assumptions!$B$29+Assumptions!$B$30)</f>
        <v/>
      </c>
      <c r="BO22" s="17">
        <f>BO5*(Assumptions!$B$29+Assumptions!$B$30)</f>
        <v/>
      </c>
      <c r="BP22" s="17">
        <f>BP5*(Assumptions!$B$29+Assumptions!$B$30)</f>
        <v/>
      </c>
      <c r="BQ22" s="17">
        <f>BQ5*(Assumptions!$B$29+Assumptions!$B$30)</f>
        <v/>
      </c>
      <c r="BR22" s="17">
        <f>BR5*(Assumptions!$B$29+Assumptions!$B$30)</f>
        <v/>
      </c>
      <c r="BS22" s="17">
        <f>BS5*(Assumptions!$B$29+Assumptions!$B$30)</f>
        <v/>
      </c>
      <c r="BT22" s="17">
        <f>BT5*(Assumptions!$B$29+Assumptions!$B$30)</f>
        <v/>
      </c>
      <c r="BU22" s="17">
        <f>BU5*(Assumptions!$B$29+Assumptions!$B$30)</f>
        <v/>
      </c>
      <c r="BV22" s="17">
        <f>BV5*(Assumptions!$B$29+Assumptions!$B$30)</f>
        <v/>
      </c>
      <c r="BW22" s="17">
        <f>BW5*(Assumptions!$B$29+Assumptions!$B$30)</f>
        <v/>
      </c>
    </row>
    <row r="23">
      <c r="A23" t="inlineStr">
        <is>
          <t>Merchant fees + chargebacks</t>
        </is>
      </c>
      <c r="D23" s="17">
        <f>D13*Assumptions!$B$27</f>
        <v/>
      </c>
      <c r="E23" s="17">
        <f>E13*Assumptions!$B$27</f>
        <v/>
      </c>
      <c r="F23" s="17">
        <f>F13*Assumptions!$B$27</f>
        <v/>
      </c>
      <c r="G23" s="17">
        <f>G13*Assumptions!$B$27</f>
        <v/>
      </c>
      <c r="H23" s="17">
        <f>H13*Assumptions!$B$27</f>
        <v/>
      </c>
      <c r="I23" s="17">
        <f>I13*Assumptions!$B$27</f>
        <v/>
      </c>
      <c r="J23" s="17">
        <f>J13*Assumptions!$B$27</f>
        <v/>
      </c>
      <c r="K23" s="17">
        <f>K13*Assumptions!$B$27</f>
        <v/>
      </c>
      <c r="L23" s="17">
        <f>L13*Assumptions!$B$27</f>
        <v/>
      </c>
      <c r="M23" s="17">
        <f>M13*Assumptions!$B$27</f>
        <v/>
      </c>
      <c r="N23" s="17">
        <f>N13*Assumptions!$B$27</f>
        <v/>
      </c>
      <c r="O23" s="17">
        <f>O13*Assumptions!$B$27</f>
        <v/>
      </c>
      <c r="P23" s="17">
        <f>P13*Assumptions!$B$27</f>
        <v/>
      </c>
      <c r="Q23" s="17">
        <f>Q13*Assumptions!$B$27</f>
        <v/>
      </c>
      <c r="R23" s="17">
        <f>R13*Assumptions!$B$27</f>
        <v/>
      </c>
      <c r="S23" s="17">
        <f>S13*Assumptions!$B$27</f>
        <v/>
      </c>
      <c r="T23" s="17">
        <f>T13*Assumptions!$B$27</f>
        <v/>
      </c>
      <c r="U23" s="17">
        <f>U13*Assumptions!$B$27</f>
        <v/>
      </c>
      <c r="V23" s="17">
        <f>V13*Assumptions!$B$27</f>
        <v/>
      </c>
      <c r="W23" s="17">
        <f>W13*Assumptions!$B$27</f>
        <v/>
      </c>
      <c r="X23" s="17">
        <f>X13*Assumptions!$B$27</f>
        <v/>
      </c>
      <c r="Y23" s="17">
        <f>Y13*Assumptions!$B$27</f>
        <v/>
      </c>
      <c r="Z23" s="17">
        <f>Z13*Assumptions!$B$27</f>
        <v/>
      </c>
      <c r="AA23" s="17">
        <f>AA13*Assumptions!$B$27</f>
        <v/>
      </c>
      <c r="AB23" s="17">
        <f>AB13*Assumptions!$B$27</f>
        <v/>
      </c>
      <c r="AC23" s="17">
        <f>AC13*Assumptions!$B$27</f>
        <v/>
      </c>
      <c r="AD23" s="17">
        <f>AD13*Assumptions!$B$27</f>
        <v/>
      </c>
      <c r="AE23" s="17">
        <f>AE13*Assumptions!$B$27</f>
        <v/>
      </c>
      <c r="AF23" s="17">
        <f>AF13*Assumptions!$B$27</f>
        <v/>
      </c>
      <c r="AG23" s="17">
        <f>AG13*Assumptions!$B$27</f>
        <v/>
      </c>
      <c r="AH23" s="17">
        <f>AH13*Assumptions!$B$27</f>
        <v/>
      </c>
      <c r="AI23" s="17">
        <f>AI13*Assumptions!$B$27</f>
        <v/>
      </c>
      <c r="AJ23" s="17">
        <f>AJ13*Assumptions!$B$27</f>
        <v/>
      </c>
      <c r="AK23" s="17">
        <f>AK13*Assumptions!$B$27</f>
        <v/>
      </c>
      <c r="AL23" s="17">
        <f>AL13*Assumptions!$B$27</f>
        <v/>
      </c>
      <c r="AM23" s="17">
        <f>AM13*Assumptions!$B$27</f>
        <v/>
      </c>
      <c r="AN23" s="17">
        <f>AN13*Assumptions!$B$27</f>
        <v/>
      </c>
      <c r="AO23" s="17">
        <f>AO13*Assumptions!$B$27</f>
        <v/>
      </c>
      <c r="AP23" s="17">
        <f>AP13*Assumptions!$B$27</f>
        <v/>
      </c>
      <c r="AQ23" s="17">
        <f>AQ13*Assumptions!$B$27</f>
        <v/>
      </c>
      <c r="AR23" s="17">
        <f>AR13*Assumptions!$B$27</f>
        <v/>
      </c>
      <c r="AS23" s="17">
        <f>AS13*Assumptions!$B$27</f>
        <v/>
      </c>
      <c r="AT23" s="17">
        <f>AT13*Assumptions!$B$27</f>
        <v/>
      </c>
      <c r="AU23" s="17">
        <f>AU13*Assumptions!$B$27</f>
        <v/>
      </c>
      <c r="AV23" s="17">
        <f>AV13*Assumptions!$B$27</f>
        <v/>
      </c>
      <c r="AW23" s="17">
        <f>AW13*Assumptions!$B$27</f>
        <v/>
      </c>
      <c r="AX23" s="17">
        <f>AX13*Assumptions!$B$27</f>
        <v/>
      </c>
      <c r="AY23" s="17">
        <f>AY13*Assumptions!$B$27</f>
        <v/>
      </c>
      <c r="AZ23" s="17">
        <f>AZ13*Assumptions!$B$27</f>
        <v/>
      </c>
      <c r="BA23" s="17">
        <f>BA13*Assumptions!$B$27</f>
        <v/>
      </c>
      <c r="BB23" s="17">
        <f>BB13*Assumptions!$B$27</f>
        <v/>
      </c>
      <c r="BC23" s="17">
        <f>BC13*Assumptions!$B$27</f>
        <v/>
      </c>
      <c r="BD23" s="17">
        <f>BD13*Assumptions!$B$27</f>
        <v/>
      </c>
      <c r="BE23" s="17">
        <f>BE13*Assumptions!$B$27</f>
        <v/>
      </c>
      <c r="BF23" s="17">
        <f>BF13*Assumptions!$B$27</f>
        <v/>
      </c>
      <c r="BG23" s="17">
        <f>BG13*Assumptions!$B$27</f>
        <v/>
      </c>
      <c r="BH23" s="17">
        <f>BH13*Assumptions!$B$27</f>
        <v/>
      </c>
      <c r="BI23" s="17">
        <f>BI13*Assumptions!$B$27</f>
        <v/>
      </c>
      <c r="BJ23" s="17">
        <f>BJ13*Assumptions!$B$27</f>
        <v/>
      </c>
      <c r="BK23" s="17">
        <f>BK13*Assumptions!$B$27</f>
        <v/>
      </c>
      <c r="BL23" s="17">
        <f>BL13*Assumptions!$B$27</f>
        <v/>
      </c>
      <c r="BM23" s="17">
        <f>BM13*Assumptions!$B$27</f>
        <v/>
      </c>
      <c r="BN23" s="17">
        <f>BN13*Assumptions!$B$27</f>
        <v/>
      </c>
      <c r="BO23" s="17">
        <f>BO13*Assumptions!$B$27</f>
        <v/>
      </c>
      <c r="BP23" s="17">
        <f>BP13*Assumptions!$B$27</f>
        <v/>
      </c>
      <c r="BQ23" s="17">
        <f>BQ13*Assumptions!$B$27</f>
        <v/>
      </c>
      <c r="BR23" s="17">
        <f>BR13*Assumptions!$B$27</f>
        <v/>
      </c>
      <c r="BS23" s="17">
        <f>BS13*Assumptions!$B$27</f>
        <v/>
      </c>
      <c r="BT23" s="17">
        <f>BT13*Assumptions!$B$27</f>
        <v/>
      </c>
      <c r="BU23" s="17">
        <f>BU13*Assumptions!$B$27</f>
        <v/>
      </c>
      <c r="BV23" s="17">
        <f>BV13*Assumptions!$B$27</f>
        <v/>
      </c>
      <c r="BW23" s="17">
        <f>BW13*Assumptions!$B$27</f>
        <v/>
      </c>
    </row>
    <row r="24">
      <c r="A24" s="1" t="inlineStr">
        <is>
          <t>Total COS</t>
        </is>
      </c>
      <c r="D24" s="28">
        <f>SUM(D18:D23)</f>
        <v/>
      </c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  <c r="J24" s="28">
        <f>SUM(J18:J23)</f>
        <v/>
      </c>
      <c r="K24" s="28">
        <f>SUM(K18:K23)</f>
        <v/>
      </c>
      <c r="L24" s="28">
        <f>SUM(L18:L23)</f>
        <v/>
      </c>
      <c r="M24" s="28">
        <f>SUM(M18:M23)</f>
        <v/>
      </c>
      <c r="N24" s="28">
        <f>SUM(N18:N23)</f>
        <v/>
      </c>
      <c r="O24" s="28">
        <f>SUM(O18:O23)</f>
        <v/>
      </c>
      <c r="P24" s="28">
        <f>SUM(P18:P23)</f>
        <v/>
      </c>
      <c r="Q24" s="28">
        <f>SUM(Q18:Q23)</f>
        <v/>
      </c>
      <c r="R24" s="28">
        <f>SUM(R18:R23)</f>
        <v/>
      </c>
      <c r="S24" s="28">
        <f>SUM(S18:S23)</f>
        <v/>
      </c>
      <c r="T24" s="28">
        <f>SUM(T18:T23)</f>
        <v/>
      </c>
      <c r="U24" s="28">
        <f>SUM(U18:U23)</f>
        <v/>
      </c>
      <c r="V24" s="28">
        <f>SUM(V18:V23)</f>
        <v/>
      </c>
      <c r="W24" s="28">
        <f>SUM(W18:W23)</f>
        <v/>
      </c>
      <c r="X24" s="28">
        <f>SUM(X18:X23)</f>
        <v/>
      </c>
      <c r="Y24" s="28">
        <f>SUM(Y18:Y23)</f>
        <v/>
      </c>
      <c r="Z24" s="28">
        <f>SUM(Z18:Z23)</f>
        <v/>
      </c>
      <c r="AA24" s="28">
        <f>SUM(AA18:AA23)</f>
        <v/>
      </c>
      <c r="AB24" s="28">
        <f>SUM(AB18:AB23)</f>
        <v/>
      </c>
      <c r="AC24" s="28">
        <f>SUM(AC18:AC23)</f>
        <v/>
      </c>
      <c r="AD24" s="28">
        <f>SUM(AD18:AD23)</f>
        <v/>
      </c>
      <c r="AE24" s="28">
        <f>SUM(AE18:AE23)</f>
        <v/>
      </c>
      <c r="AF24" s="28">
        <f>SUM(AF18:AF23)</f>
        <v/>
      </c>
      <c r="AG24" s="28">
        <f>SUM(AG18:AG23)</f>
        <v/>
      </c>
      <c r="AH24" s="28">
        <f>SUM(AH18:AH23)</f>
        <v/>
      </c>
      <c r="AI24" s="28">
        <f>SUM(AI18:AI23)</f>
        <v/>
      </c>
      <c r="AJ24" s="28">
        <f>SUM(AJ18:AJ23)</f>
        <v/>
      </c>
      <c r="AK24" s="28">
        <f>SUM(AK18:AK23)</f>
        <v/>
      </c>
      <c r="AL24" s="28">
        <f>SUM(AL18:AL23)</f>
        <v/>
      </c>
      <c r="AM24" s="28">
        <f>SUM(AM18:AM23)</f>
        <v/>
      </c>
      <c r="AN24" s="28">
        <f>SUM(AN18:AN23)</f>
        <v/>
      </c>
      <c r="AO24" s="28">
        <f>SUM(AO18:AO23)</f>
        <v/>
      </c>
      <c r="AP24" s="28">
        <f>SUM(AP18:AP23)</f>
        <v/>
      </c>
      <c r="AQ24" s="28">
        <f>SUM(AQ18:AQ23)</f>
        <v/>
      </c>
      <c r="AR24" s="28">
        <f>SUM(AR18:AR23)</f>
        <v/>
      </c>
      <c r="AS24" s="28">
        <f>SUM(AS18:AS23)</f>
        <v/>
      </c>
      <c r="AT24" s="28">
        <f>SUM(AT18:AT23)</f>
        <v/>
      </c>
      <c r="AU24" s="28">
        <f>SUM(AU18:AU23)</f>
        <v/>
      </c>
      <c r="AV24" s="28">
        <f>SUM(AV18:AV23)</f>
        <v/>
      </c>
      <c r="AW24" s="28">
        <f>SUM(AW18:AW23)</f>
        <v/>
      </c>
      <c r="AX24" s="28">
        <f>SUM(AX18:AX23)</f>
        <v/>
      </c>
      <c r="AY24" s="28">
        <f>SUM(AY18:AY23)</f>
        <v/>
      </c>
      <c r="AZ24" s="28">
        <f>SUM(AZ18:AZ23)</f>
        <v/>
      </c>
      <c r="BA24" s="28">
        <f>SUM(BA18:BA23)</f>
        <v/>
      </c>
      <c r="BB24" s="28">
        <f>SUM(BB18:BB23)</f>
        <v/>
      </c>
      <c r="BC24" s="28">
        <f>SUM(BC18:BC23)</f>
        <v/>
      </c>
      <c r="BD24" s="28">
        <f>SUM(BD18:BD23)</f>
        <v/>
      </c>
      <c r="BE24" s="28">
        <f>SUM(BE18:BE23)</f>
        <v/>
      </c>
      <c r="BF24" s="28">
        <f>SUM(BF18:BF23)</f>
        <v/>
      </c>
      <c r="BG24" s="28">
        <f>SUM(BG18:BG23)</f>
        <v/>
      </c>
      <c r="BH24" s="28">
        <f>SUM(BH18:BH23)</f>
        <v/>
      </c>
      <c r="BI24" s="28">
        <f>SUM(BI18:BI23)</f>
        <v/>
      </c>
      <c r="BJ24" s="28">
        <f>SUM(BJ18:BJ23)</f>
        <v/>
      </c>
      <c r="BK24" s="28">
        <f>SUM(BK18:BK23)</f>
        <v/>
      </c>
      <c r="BL24" s="28">
        <f>SUM(BL18:BL23)</f>
        <v/>
      </c>
      <c r="BM24" s="28">
        <f>SUM(BM18:BM23)</f>
        <v/>
      </c>
      <c r="BN24" s="28">
        <f>SUM(BN18:BN23)</f>
        <v/>
      </c>
      <c r="BO24" s="28">
        <f>SUM(BO18:BO23)</f>
        <v/>
      </c>
      <c r="BP24" s="28">
        <f>SUM(BP18:BP23)</f>
        <v/>
      </c>
      <c r="BQ24" s="28">
        <f>SUM(BQ18:BQ23)</f>
        <v/>
      </c>
      <c r="BR24" s="28">
        <f>SUM(BR18:BR23)</f>
        <v/>
      </c>
      <c r="BS24" s="28">
        <f>SUM(BS18:BS23)</f>
        <v/>
      </c>
      <c r="BT24" s="28">
        <f>SUM(BT18:BT23)</f>
        <v/>
      </c>
      <c r="BU24" s="28">
        <f>SUM(BU18:BU23)</f>
        <v/>
      </c>
      <c r="BV24" s="28">
        <f>SUM(BV18:BV23)</f>
        <v/>
      </c>
      <c r="BW24" s="28">
        <f>SUM(BW18:BW23)</f>
        <v/>
      </c>
    </row>
    <row r="26">
      <c r="A26" s="1" t="inlineStr">
        <is>
          <t>Gross profit</t>
        </is>
      </c>
      <c r="D26" s="101">
        <f>D15-D24</f>
        <v/>
      </c>
      <c r="E26" s="101">
        <f>E15-E24</f>
        <v/>
      </c>
      <c r="F26" s="101">
        <f>F15-F24</f>
        <v/>
      </c>
      <c r="G26" s="101">
        <f>G15-G24</f>
        <v/>
      </c>
      <c r="H26" s="101">
        <f>H15-H24</f>
        <v/>
      </c>
      <c r="I26" s="101">
        <f>I15-I24</f>
        <v/>
      </c>
      <c r="J26" s="101">
        <f>J15-J24</f>
        <v/>
      </c>
      <c r="K26" s="101">
        <f>K15-K24</f>
        <v/>
      </c>
      <c r="L26" s="101">
        <f>L15-L24</f>
        <v/>
      </c>
      <c r="M26" s="101">
        <f>M15-M24</f>
        <v/>
      </c>
      <c r="N26" s="101">
        <f>N15-N24</f>
        <v/>
      </c>
      <c r="O26" s="101">
        <f>O15-O24</f>
        <v/>
      </c>
      <c r="P26" s="101">
        <f>P15-P24</f>
        <v/>
      </c>
      <c r="Q26" s="101">
        <f>Q15-Q24</f>
        <v/>
      </c>
      <c r="R26" s="101">
        <f>R15-R24</f>
        <v/>
      </c>
      <c r="S26" s="101">
        <f>S15-S24</f>
        <v/>
      </c>
      <c r="T26" s="101">
        <f>T15-T24</f>
        <v/>
      </c>
      <c r="U26" s="101">
        <f>U15-U24</f>
        <v/>
      </c>
      <c r="V26" s="101">
        <f>V15-V24</f>
        <v/>
      </c>
      <c r="W26" s="101">
        <f>W15-W24</f>
        <v/>
      </c>
      <c r="X26" s="101">
        <f>X15-X24</f>
        <v/>
      </c>
      <c r="Y26" s="101">
        <f>Y15-Y24</f>
        <v/>
      </c>
      <c r="Z26" s="101">
        <f>Z15-Z24</f>
        <v/>
      </c>
      <c r="AA26" s="101">
        <f>AA15-AA24</f>
        <v/>
      </c>
      <c r="AB26" s="101">
        <f>AB15-AB24</f>
        <v/>
      </c>
      <c r="AC26" s="101">
        <f>AC15-AC24</f>
        <v/>
      </c>
      <c r="AD26" s="101">
        <f>AD15-AD24</f>
        <v/>
      </c>
      <c r="AE26" s="101">
        <f>AE15-AE24</f>
        <v/>
      </c>
      <c r="AF26" s="101">
        <f>AF15-AF24</f>
        <v/>
      </c>
      <c r="AG26" s="101">
        <f>AG15-AG24</f>
        <v/>
      </c>
      <c r="AH26" s="101">
        <f>AH15-AH24</f>
        <v/>
      </c>
      <c r="AI26" s="101">
        <f>AI15-AI24</f>
        <v/>
      </c>
      <c r="AJ26" s="101">
        <f>AJ15-AJ24</f>
        <v/>
      </c>
      <c r="AK26" s="101">
        <f>AK15-AK24</f>
        <v/>
      </c>
      <c r="AL26" s="101">
        <f>AL15-AL24</f>
        <v/>
      </c>
      <c r="AM26" s="101">
        <f>AM15-AM24</f>
        <v/>
      </c>
      <c r="AN26" s="101">
        <f>AN15-AN24</f>
        <v/>
      </c>
      <c r="AO26" s="101">
        <f>AO15-AO24</f>
        <v/>
      </c>
      <c r="AP26" s="101">
        <f>AP15-AP24</f>
        <v/>
      </c>
      <c r="AQ26" s="101">
        <f>AQ15-AQ24</f>
        <v/>
      </c>
      <c r="AR26" s="101">
        <f>AR15-AR24</f>
        <v/>
      </c>
      <c r="AS26" s="101">
        <f>AS15-AS24</f>
        <v/>
      </c>
      <c r="AT26" s="101">
        <f>AT15-AT24</f>
        <v/>
      </c>
      <c r="AU26" s="101">
        <f>AU15-AU24</f>
        <v/>
      </c>
      <c r="AV26" s="101">
        <f>AV15-AV24</f>
        <v/>
      </c>
      <c r="AW26" s="101">
        <f>AW15-AW24</f>
        <v/>
      </c>
      <c r="AX26" s="101">
        <f>AX15-AX24</f>
        <v/>
      </c>
      <c r="AY26" s="101">
        <f>AY15-AY24</f>
        <v/>
      </c>
      <c r="AZ26" s="101">
        <f>AZ15-AZ24</f>
        <v/>
      </c>
      <c r="BA26" s="101">
        <f>BA15-BA24</f>
        <v/>
      </c>
      <c r="BB26" s="101">
        <f>BB15-BB24</f>
        <v/>
      </c>
      <c r="BC26" s="101">
        <f>BC15-BC24</f>
        <v/>
      </c>
      <c r="BD26" s="101">
        <f>BD15-BD24</f>
        <v/>
      </c>
      <c r="BE26" s="101">
        <f>BE15-BE24</f>
        <v/>
      </c>
      <c r="BF26" s="101">
        <f>BF15-BF24</f>
        <v/>
      </c>
      <c r="BG26" s="101">
        <f>BG15-BG24</f>
        <v/>
      </c>
      <c r="BH26" s="101">
        <f>BH15-BH24</f>
        <v/>
      </c>
      <c r="BI26" s="101">
        <f>BI15-BI24</f>
        <v/>
      </c>
      <c r="BJ26" s="101">
        <f>BJ15-BJ24</f>
        <v/>
      </c>
      <c r="BK26" s="101">
        <f>BK15-BK24</f>
        <v/>
      </c>
      <c r="BL26" s="101">
        <f>BL15-BL24</f>
        <v/>
      </c>
      <c r="BM26" s="101">
        <f>BM15-BM24</f>
        <v/>
      </c>
      <c r="BN26" s="101">
        <f>BN15-BN24</f>
        <v/>
      </c>
      <c r="BO26" s="101">
        <f>BO15-BO24</f>
        <v/>
      </c>
      <c r="BP26" s="101">
        <f>BP15-BP24</f>
        <v/>
      </c>
      <c r="BQ26" s="101">
        <f>BQ15-BQ24</f>
        <v/>
      </c>
      <c r="BR26" s="101">
        <f>BR15-BR24</f>
        <v/>
      </c>
      <c r="BS26" s="101">
        <f>BS15-BS24</f>
        <v/>
      </c>
      <c r="BT26" s="101">
        <f>BT15-BT24</f>
        <v/>
      </c>
      <c r="BU26" s="101">
        <f>BU15-BU24</f>
        <v/>
      </c>
      <c r="BV26" s="101">
        <f>BV15-BV24</f>
        <v/>
      </c>
      <c r="BW26" s="101">
        <f>BW15-BW24</f>
        <v/>
      </c>
    </row>
    <row r="28">
      <c r="A28" s="97" t="inlineStr">
        <is>
          <t>ANNUAL ROLL-UP</t>
        </is>
      </c>
      <c r="BY28" s="1" t="inlineStr">
        <is>
          <t>2025A</t>
        </is>
      </c>
      <c r="BZ28" s="1" t="inlineStr">
        <is>
          <t>2026E</t>
        </is>
      </c>
      <c r="CA28" s="1" t="inlineStr">
        <is>
          <t>2027E</t>
        </is>
      </c>
      <c r="CB28" s="1" t="inlineStr">
        <is>
          <t>2028E</t>
        </is>
      </c>
      <c r="CC28" s="1" t="inlineStr">
        <is>
          <t>2029E</t>
        </is>
      </c>
      <c r="CD28" s="1" t="inlineStr">
        <is>
          <t>2030E</t>
        </is>
      </c>
    </row>
    <row r="29">
      <c r="A29" s="1" t="inlineStr">
        <is>
          <t>New contracts</t>
        </is>
      </c>
      <c r="BY29" s="102">
        <f>SUM(D5:O5)</f>
        <v/>
      </c>
      <c r="BZ29" s="102">
        <f>SUM(P5:AA5)</f>
        <v/>
      </c>
      <c r="CA29" s="102">
        <f>SUM(AB5:AM5)</f>
        <v/>
      </c>
      <c r="CB29" s="102">
        <f>SUM(AN5:AY5)</f>
        <v/>
      </c>
      <c r="CC29" s="102">
        <f>SUM(AZ5:BK5)</f>
        <v/>
      </c>
      <c r="CD29" s="102">
        <f>SUM(BL5:BW5)</f>
        <v/>
      </c>
    </row>
    <row r="30">
      <c r="A30" s="1" t="inlineStr">
        <is>
          <t>Active contracts (Dec)</t>
        </is>
      </c>
      <c r="BY30" s="102">
        <f>O6</f>
        <v/>
      </c>
      <c r="BZ30" s="102">
        <f>AA6</f>
        <v/>
      </c>
      <c r="CA30" s="102">
        <f>AM6</f>
        <v/>
      </c>
      <c r="CB30" s="102">
        <f>AY6</f>
        <v/>
      </c>
      <c r="CC30" s="102">
        <f>BK6</f>
        <v/>
      </c>
      <c r="CD30" s="102">
        <f>BW6</f>
        <v/>
      </c>
    </row>
    <row r="31">
      <c r="A31" s="1" t="inlineStr">
        <is>
          <t>Total revenue</t>
        </is>
      </c>
      <c r="BY31" s="103">
        <f>SUM(D15:O15)</f>
        <v/>
      </c>
      <c r="BZ31" s="103">
        <f>SUM(P15:AA15)</f>
        <v/>
      </c>
      <c r="CA31" s="103">
        <f>SUM(AB15:AM15)</f>
        <v/>
      </c>
      <c r="CB31" s="103">
        <f>SUM(AN15:AY15)</f>
        <v/>
      </c>
      <c r="CC31" s="103">
        <f>SUM(AZ15:BK15)</f>
        <v/>
      </c>
      <c r="CD31" s="103">
        <f>SUM(BL15:BW15)</f>
        <v/>
      </c>
    </row>
    <row r="32">
      <c r="A32" s="1" t="inlineStr">
        <is>
          <t>Total COS</t>
        </is>
      </c>
      <c r="BY32" s="103">
        <f>SUM(D24:O24)</f>
        <v/>
      </c>
      <c r="BZ32" s="103">
        <f>SUM(P24:AA24)</f>
        <v/>
      </c>
      <c r="CA32" s="103">
        <f>SUM(AB24:AM24)</f>
        <v/>
      </c>
      <c r="CB32" s="103">
        <f>SUM(AN24:AY24)</f>
        <v/>
      </c>
      <c r="CC32" s="103">
        <f>SUM(AZ24:BK24)</f>
        <v/>
      </c>
      <c r="CD32" s="103">
        <f>SUM(BL24:BW24)</f>
        <v/>
      </c>
    </row>
    <row r="33">
      <c r="A33" s="1" t="inlineStr">
        <is>
          <t>Gross profit</t>
        </is>
      </c>
      <c r="BY33" s="103">
        <f>SUM(D26:O26)</f>
        <v/>
      </c>
      <c r="BZ33" s="103">
        <f>SUM(P26:AA26)</f>
        <v/>
      </c>
      <c r="CA33" s="103">
        <f>SUM(AB26:AM26)</f>
        <v/>
      </c>
      <c r="CB33" s="103">
        <f>SUM(AN26:AY26)</f>
        <v/>
      </c>
      <c r="CC33" s="103">
        <f>SUM(AZ26:BK26)</f>
        <v/>
      </c>
      <c r="CD33" s="103">
        <f>SUM(BL26:BW26)</f>
        <v/>
      </c>
    </row>
  </sheetData>
  <mergeCells count="4">
    <mergeCell ref="A28:H28"/>
    <mergeCell ref="A10:H10"/>
    <mergeCell ref="A17:H17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CD3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8" customWidth="1" style="50" min="1" max="1"/>
    <col width="3" customWidth="1" style="50" min="2" max="2"/>
    <col width="10" customWidth="1" style="50" min="3" max="3"/>
    <col width="11" customWidth="1" style="50" min="4" max="75"/>
    <col width="13" customWidth="1" style="50" min="77" max="82"/>
  </cols>
  <sheetData>
    <row r="1" ht="24" customHeight="1" s="50">
      <c r="A1" s="95" t="inlineStr">
        <is>
          <t>CX Home / HWS — Engine (Vintage Cohort Survival)</t>
        </is>
      </c>
    </row>
    <row r="2">
      <c r="A2" s="5" t="inlineStr">
        <is>
          <t>Monthly originations × shared cancel curve. CPS (customer payment per service) = $100.0/mo.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New contracts originated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600</v>
      </c>
      <c r="J5" s="15" t="n">
        <v>1250</v>
      </c>
      <c r="K5" s="15" t="n">
        <v>1500</v>
      </c>
      <c r="L5" s="15" t="n">
        <v>1250</v>
      </c>
      <c r="M5" s="15" t="n">
        <v>1400</v>
      </c>
      <c r="N5" s="15" t="n">
        <v>1500</v>
      </c>
      <c r="O5" s="15" t="n">
        <v>1400</v>
      </c>
      <c r="P5" s="15" t="n">
        <v>1550</v>
      </c>
      <c r="Q5" s="15" t="n">
        <v>1700</v>
      </c>
      <c r="R5" s="15" t="n">
        <v>1850</v>
      </c>
      <c r="S5" s="15" t="n">
        <v>2000</v>
      </c>
      <c r="T5" s="15" t="n">
        <v>2150</v>
      </c>
      <c r="U5" s="15" t="n">
        <v>2300</v>
      </c>
      <c r="V5" s="15" t="n">
        <v>2450</v>
      </c>
      <c r="W5" s="15" t="n">
        <v>2600</v>
      </c>
      <c r="X5" s="15" t="n">
        <v>2750</v>
      </c>
      <c r="Y5" s="15" t="n">
        <v>2900</v>
      </c>
      <c r="Z5" s="15" t="n">
        <v>3050</v>
      </c>
      <c r="AA5" s="15" t="n">
        <v>3200</v>
      </c>
      <c r="AB5" s="15" t="n">
        <v>3350</v>
      </c>
      <c r="AC5" s="15" t="n">
        <v>3500</v>
      </c>
      <c r="AD5" s="15" t="n">
        <v>3650</v>
      </c>
      <c r="AE5" s="15" t="n">
        <v>3800</v>
      </c>
      <c r="AF5" s="15" t="n">
        <v>3950</v>
      </c>
      <c r="AG5" s="15" t="n">
        <v>4100</v>
      </c>
      <c r="AH5" s="15" t="n">
        <v>4250</v>
      </c>
      <c r="AI5" s="15" t="n">
        <v>4400</v>
      </c>
      <c r="AJ5" s="15" t="n">
        <v>4550</v>
      </c>
      <c r="AK5" s="15" t="n">
        <v>4700</v>
      </c>
      <c r="AL5" s="15" t="n">
        <v>4850</v>
      </c>
      <c r="AM5" s="15" t="n">
        <v>5000</v>
      </c>
      <c r="AN5" s="15" t="n">
        <v>5150</v>
      </c>
      <c r="AO5" s="15" t="n">
        <v>5300</v>
      </c>
      <c r="AP5" s="15" t="n">
        <v>5450</v>
      </c>
      <c r="AQ5" s="15" t="n">
        <v>5600</v>
      </c>
      <c r="AR5" s="15" t="n">
        <v>5750</v>
      </c>
      <c r="AS5" s="15" t="n">
        <v>5900</v>
      </c>
      <c r="AT5" s="15" t="n">
        <v>6050</v>
      </c>
      <c r="AU5" s="15" t="n">
        <v>6200</v>
      </c>
      <c r="AV5" s="15" t="n">
        <v>6350</v>
      </c>
      <c r="AW5" s="15" t="n">
        <v>6500</v>
      </c>
      <c r="AX5" s="15" t="n">
        <v>6650</v>
      </c>
      <c r="AY5" s="15" t="n">
        <v>6800</v>
      </c>
      <c r="AZ5" s="15" t="n">
        <v>6950</v>
      </c>
      <c r="BA5" s="15" t="n">
        <v>7100</v>
      </c>
      <c r="BB5" s="15" t="n">
        <v>7250</v>
      </c>
      <c r="BC5" s="15" t="n">
        <v>7400</v>
      </c>
      <c r="BD5" s="15" t="n">
        <v>7550</v>
      </c>
      <c r="BE5" s="15" t="n">
        <v>7700</v>
      </c>
      <c r="BF5" s="15" t="n">
        <v>7850</v>
      </c>
      <c r="BG5" s="15" t="n">
        <v>8000</v>
      </c>
      <c r="BH5" s="15" t="n">
        <v>8150</v>
      </c>
      <c r="BI5" s="15" t="n">
        <v>8300</v>
      </c>
      <c r="BJ5" s="15" t="n">
        <v>8450</v>
      </c>
      <c r="BK5" s="15" t="n">
        <v>8600</v>
      </c>
      <c r="BL5" s="15" t="n">
        <v>8750</v>
      </c>
      <c r="BM5" s="15" t="n">
        <v>8900</v>
      </c>
      <c r="BN5" s="15" t="n">
        <v>9050</v>
      </c>
      <c r="BO5" s="15" t="n">
        <v>9200</v>
      </c>
      <c r="BP5" s="15" t="n">
        <v>9350</v>
      </c>
      <c r="BQ5" s="15" t="n">
        <v>9500</v>
      </c>
      <c r="BR5" s="15" t="n">
        <v>9650</v>
      </c>
      <c r="BS5" s="15" t="n">
        <v>9800</v>
      </c>
      <c r="BT5" s="15" t="n">
        <v>9950</v>
      </c>
      <c r="BU5" s="15" t="n">
        <v>10100</v>
      </c>
      <c r="BV5" s="15" t="n">
        <v>10250</v>
      </c>
      <c r="BW5" s="15" t="n">
        <v>10400</v>
      </c>
    </row>
    <row r="6">
      <c r="A6" s="1" t="inlineStr">
        <is>
          <t>Active contracts (vintage-weighted)</t>
        </is>
      </c>
      <c r="C6" s="26">
        <f>C7</f>
        <v/>
      </c>
      <c r="D6" s="26">
        <f>$D5*'Cancel Curves'!$B$12</f>
        <v/>
      </c>
      <c r="E6" s="26">
        <f>$D5*'Cancel Curves'!$C$12 + $E5*'Cancel Curves'!$B$12</f>
        <v/>
      </c>
      <c r="F6" s="26">
        <f>$D5*'Cancel Curves'!$D$12 + $E5*'Cancel Curves'!$C$12 + $F5*'Cancel Curves'!$B$12</f>
        <v/>
      </c>
      <c r="G6" s="26">
        <f>$D5*'Cancel Curves'!$E$12 + $E5*'Cancel Curves'!$D$12 + $F5*'Cancel Curves'!$C$12 + $G5*'Cancel Curves'!$B$12</f>
        <v/>
      </c>
      <c r="H6" s="26">
        <f>$D5*'Cancel Curves'!$F$12 + $E5*'Cancel Curves'!$E$12 + $F5*'Cancel Curves'!$D$12 + $G5*'Cancel Curves'!$C$12 + $H5*'Cancel Curves'!$B$12</f>
        <v/>
      </c>
      <c r="I6" s="26">
        <f>$D5*'Cancel Curves'!$G$12 + $E5*'Cancel Curves'!$F$12 + $F5*'Cancel Curves'!$E$12 + $G5*'Cancel Curves'!$D$12 + $H5*'Cancel Curves'!$C$12 + $I5*'Cancel Curves'!$B$12</f>
        <v/>
      </c>
      <c r="J6" s="26">
        <f>$D5*'Cancel Curves'!$H$12 + $E5*'Cancel Curves'!$G$12 + $F5*'Cancel Curves'!$F$12 + $G5*'Cancel Curves'!$E$12 + $H5*'Cancel Curves'!$D$12 + $I5*'Cancel Curves'!$C$12 + $J5*'Cancel Curves'!$B$12</f>
        <v/>
      </c>
      <c r="K6" s="26">
        <f>$D5*'Cancel Curves'!$I$12 + $E5*'Cancel Curves'!$H$12 + $F5*'Cancel Curves'!$G$12 + $G5*'Cancel Curves'!$F$12 + $H5*'Cancel Curves'!$E$12 + $I5*'Cancel Curves'!$D$12 + $J5*'Cancel Curves'!$C$12 + $K5*'Cancel Curves'!$B$12</f>
        <v/>
      </c>
      <c r="L6" s="26">
        <f>$D5*'Cancel Curves'!$J$12 + $E5*'Cancel Curves'!$I$12 + $F5*'Cancel Curves'!$H$12 + $G5*'Cancel Curves'!$G$12 + $H5*'Cancel Curves'!$F$12 + $I5*'Cancel Curves'!$E$12 + $J5*'Cancel Curves'!$D$12 + $K5*'Cancel Curves'!$C$12 + $L5*'Cancel Curves'!$B$12</f>
        <v/>
      </c>
      <c r="M6" s="26">
        <f>$D5*'Cancel Curves'!$K$12 + $E5*'Cancel Curves'!$J$12 + $F5*'Cancel Curves'!$I$12 + $G5*'Cancel Curves'!$H$12 + $H5*'Cancel Curves'!$G$12 + $I5*'Cancel Curves'!$F$12 + $J5*'Cancel Curves'!$E$12 + $K5*'Cancel Curves'!$D$12 + $L5*'Cancel Curves'!$C$12 + $M5*'Cancel Curves'!$B$12</f>
        <v/>
      </c>
      <c r="N6" s="26">
        <f>$D5*'Cancel Curves'!$L$12 + $E5*'Cancel Curves'!$K$12 + $F5*'Cancel Curves'!$J$12 + $G5*'Cancel Curves'!$I$12 + $H5*'Cancel Curves'!$H$12 + $I5*'Cancel Curves'!$G$12 + $J5*'Cancel Curves'!$F$12 + $K5*'Cancel Curves'!$E$12 + $L5*'Cancel Curves'!$D$12 + $M5*'Cancel Curves'!$C$12 + $N5*'Cancel Curves'!$B$12</f>
        <v/>
      </c>
      <c r="O6" s="26">
        <f>$D5*'Cancel Curves'!$M$12 + $E5*'Cancel Curves'!$L$12 + $F5*'Cancel Curves'!$K$12 + $G5*'Cancel Curves'!$J$12 + $H5*'Cancel Curves'!$I$12 + $I5*'Cancel Curves'!$H$12 + $J5*'Cancel Curves'!$G$12 + $K5*'Cancel Curves'!$F$12 + $L5*'Cancel Curves'!$E$12 + $M5*'Cancel Curves'!$D$12 + $N5*'Cancel Curves'!$C$12 + $O5*'Cancel Curves'!$B$12</f>
        <v/>
      </c>
      <c r="P6" s="26">
        <f>$D5*'Cancel Curves'!$N$12 + $E5*'Cancel Curves'!$M$12 + $F5*'Cancel Curves'!$L$12 + $G5*'Cancel Curves'!$K$12 + $H5*'Cancel Curves'!$J$12 + $I5*'Cancel Curves'!$I$12 + $J5*'Cancel Curves'!$H$12 + $K5*'Cancel Curves'!$G$12 + $L5*'Cancel Curves'!$F$12 + $M5*'Cancel Curves'!$E$12 + $N5*'Cancel Curves'!$D$12 + $O5*'Cancel Curves'!$C$12 + $P5*'Cancel Curves'!$B$12</f>
        <v/>
      </c>
      <c r="Q6" s="26">
        <f>$D5*'Cancel Curves'!$O$12 + $E5*'Cancel Curves'!$N$12 + $F5*'Cancel Curves'!$M$12 + $G5*'Cancel Curves'!$L$12 + $H5*'Cancel Curves'!$K$12 + $I5*'Cancel Curves'!$J$12 + $J5*'Cancel Curves'!$I$12 + $K5*'Cancel Curves'!$H$12 + $L5*'Cancel Curves'!$G$12 + $M5*'Cancel Curves'!$F$12 + $N5*'Cancel Curves'!$E$12 + $O5*'Cancel Curves'!$D$12 + $P5*'Cancel Curves'!$C$12 + $Q5*'Cancel Curves'!$B$12</f>
        <v/>
      </c>
      <c r="R6" s="26">
        <f>$D5*'Cancel Curves'!$P$12 + $E5*'Cancel Curves'!$O$12 + $F5*'Cancel Curves'!$N$12 + $G5*'Cancel Curves'!$M$12 + $H5*'Cancel Curves'!$L$12 + $I5*'Cancel Curves'!$K$12 + $J5*'Cancel Curves'!$J$12 + $K5*'Cancel Curves'!$I$12 + $L5*'Cancel Curves'!$H$12 + $M5*'Cancel Curves'!$G$12 + $N5*'Cancel Curves'!$F$12 + $O5*'Cancel Curves'!$E$12 + $P5*'Cancel Curves'!$D$12 + $Q5*'Cancel Curves'!$C$12 + $R5*'Cancel Curves'!$B$12</f>
        <v/>
      </c>
      <c r="S6" s="26">
        <f>$D5*'Cancel Curves'!$Q$12 + $E5*'Cancel Curves'!$P$12 + $F5*'Cancel Curves'!$O$12 + $G5*'Cancel Curves'!$N$12 + $H5*'Cancel Curves'!$M$12 + $I5*'Cancel Curves'!$L$12 + $J5*'Cancel Curves'!$K$12 + $K5*'Cancel Curves'!$J$12 + $L5*'Cancel Curves'!$I$12 + $M5*'Cancel Curves'!$H$12 + $N5*'Cancel Curves'!$G$12 + $O5*'Cancel Curves'!$F$12 + $P5*'Cancel Curves'!$E$12 + $Q5*'Cancel Curves'!$D$12 + $R5*'Cancel Curves'!$C$12 + $S5*'Cancel Curves'!$B$12</f>
        <v/>
      </c>
      <c r="T6" s="26">
        <f>$D5*'Cancel Curves'!$R$12 + $E5*'Cancel Curves'!$Q$12 + $F5*'Cancel Curves'!$P$12 + $G5*'Cancel Curves'!$O$12 + $H5*'Cancel Curves'!$N$12 + $I5*'Cancel Curves'!$M$12 + $J5*'Cancel Curves'!$L$12 + $K5*'Cancel Curves'!$K$12 + $L5*'Cancel Curves'!$J$12 + $M5*'Cancel Curves'!$I$12 + $N5*'Cancel Curves'!$H$12 + $O5*'Cancel Curves'!$G$12 + $P5*'Cancel Curves'!$F$12 + $Q5*'Cancel Curves'!$E$12 + $R5*'Cancel Curves'!$D$12 + $S5*'Cancel Curves'!$C$12 + $T5*'Cancel Curves'!$B$12</f>
        <v/>
      </c>
      <c r="U6" s="26">
        <f>$D5*'Cancel Curves'!$S$12 + $E5*'Cancel Curves'!$R$12 + $F5*'Cancel Curves'!$Q$12 + $G5*'Cancel Curves'!$P$12 + $H5*'Cancel Curves'!$O$12 + $I5*'Cancel Curves'!$N$12 + $J5*'Cancel Curves'!$M$12 + $K5*'Cancel Curves'!$L$12 + $L5*'Cancel Curves'!$K$12 + $M5*'Cancel Curves'!$J$12 + $N5*'Cancel Curves'!$I$12 + $O5*'Cancel Curves'!$H$12 + $P5*'Cancel Curves'!$G$12 + $Q5*'Cancel Curves'!$F$12 + $R5*'Cancel Curves'!$E$12 + $S5*'Cancel Curves'!$D$12 + $T5*'Cancel Curves'!$C$12 + $U5*'Cancel Curves'!$B$12</f>
        <v/>
      </c>
      <c r="V6" s="26">
        <f>$D5*'Cancel Curves'!$T$12 + $E5*'Cancel Curves'!$S$12 + $F5*'Cancel Curves'!$R$12 + $G5*'Cancel Curves'!$Q$12 + $H5*'Cancel Curves'!$P$12 + $I5*'Cancel Curves'!$O$12 + $J5*'Cancel Curves'!$N$12 + $K5*'Cancel Curves'!$M$12 + $L5*'Cancel Curves'!$L$12 + $M5*'Cancel Curves'!$K$12 + $N5*'Cancel Curves'!$J$12 + $O5*'Cancel Curves'!$I$12 + $P5*'Cancel Curves'!$H$12 + $Q5*'Cancel Curves'!$G$12 + $R5*'Cancel Curves'!$F$12 + $S5*'Cancel Curves'!$E$12 + $T5*'Cancel Curves'!$D$12 + $U5*'Cancel Curves'!$C$12 + $V5*'Cancel Curves'!$B$12</f>
        <v/>
      </c>
      <c r="W6" s="26">
        <f>$D5*'Cancel Curves'!$U$12 + $E5*'Cancel Curves'!$T$12 + $F5*'Cancel Curves'!$S$12 + $G5*'Cancel Curves'!$R$12 + $H5*'Cancel Curves'!$Q$12 + $I5*'Cancel Curves'!$P$12 + $J5*'Cancel Curves'!$O$12 + $K5*'Cancel Curves'!$N$12 + $L5*'Cancel Curves'!$M$12 + $M5*'Cancel Curves'!$L$12 + $N5*'Cancel Curves'!$K$12 + $O5*'Cancel Curves'!$J$12 + $P5*'Cancel Curves'!$I$12 + $Q5*'Cancel Curves'!$H$12 + $R5*'Cancel Curves'!$G$12 + $S5*'Cancel Curves'!$F$12 + $T5*'Cancel Curves'!$E$12 + $U5*'Cancel Curves'!$D$12 + $V5*'Cancel Curves'!$C$12 + $W5*'Cancel Curves'!$B$12</f>
        <v/>
      </c>
      <c r="X6" s="26">
        <f>$D5*'Cancel Curves'!$V$12 + $E5*'Cancel Curves'!$U$12 + $F5*'Cancel Curves'!$T$12 + $G5*'Cancel Curves'!$S$12 + $H5*'Cancel Curves'!$R$12 + $I5*'Cancel Curves'!$Q$12 + $J5*'Cancel Curves'!$P$12 + $K5*'Cancel Curves'!$O$12 + $L5*'Cancel Curves'!$N$12 + $M5*'Cancel Curves'!$M$12 + $N5*'Cancel Curves'!$L$12 + $O5*'Cancel Curves'!$K$12 + $P5*'Cancel Curves'!$J$12 + $Q5*'Cancel Curves'!$I$12 + $R5*'Cancel Curves'!$H$12 + $S5*'Cancel Curves'!$G$12 + $T5*'Cancel Curves'!$F$12 + $U5*'Cancel Curves'!$E$12 + $V5*'Cancel Curves'!$D$12 + $W5*'Cancel Curves'!$C$12 + $X5*'Cancel Curves'!$B$12</f>
        <v/>
      </c>
      <c r="Y6" s="26">
        <f>$D5*'Cancel Curves'!$W$12 + $E5*'Cancel Curves'!$V$12 + $F5*'Cancel Curves'!$U$12 + $G5*'Cancel Curves'!$T$12 + $H5*'Cancel Curves'!$S$12 + $I5*'Cancel Curves'!$R$12 + $J5*'Cancel Curves'!$Q$12 + $K5*'Cancel Curves'!$P$12 + $L5*'Cancel Curves'!$O$12 + $M5*'Cancel Curves'!$N$12 + $N5*'Cancel Curves'!$M$12 + $O5*'Cancel Curves'!$L$12 + $P5*'Cancel Curves'!$K$12 + $Q5*'Cancel Curves'!$J$12 + $R5*'Cancel Curves'!$I$12 + $S5*'Cancel Curves'!$H$12 + $T5*'Cancel Curves'!$G$12 + $U5*'Cancel Curves'!$F$12 + $V5*'Cancel Curves'!$E$12 + $W5*'Cancel Curves'!$D$12 + $X5*'Cancel Curves'!$C$12 + $Y5*'Cancel Curves'!$B$12</f>
        <v/>
      </c>
      <c r="Z6" s="26">
        <f>$D5*'Cancel Curves'!$X$12 + $E5*'Cancel Curves'!$W$12 + $F5*'Cancel Curves'!$V$12 + $G5*'Cancel Curves'!$U$12 + $H5*'Cancel Curves'!$T$12 + $I5*'Cancel Curves'!$S$12 + $J5*'Cancel Curves'!$R$12 + $K5*'Cancel Curves'!$Q$12 + $L5*'Cancel Curves'!$P$12 + $M5*'Cancel Curves'!$O$12 + $N5*'Cancel Curves'!$N$12 + $O5*'Cancel Curves'!$M$12 + $P5*'Cancel Curves'!$L$12 + $Q5*'Cancel Curves'!$K$12 + $R5*'Cancel Curves'!$J$12 + $S5*'Cancel Curves'!$I$12 + $T5*'Cancel Curves'!$H$12 + $U5*'Cancel Curves'!$G$12 + $V5*'Cancel Curves'!$F$12 + $W5*'Cancel Curves'!$E$12 + $X5*'Cancel Curves'!$D$12 + $Y5*'Cancel Curves'!$C$12 + $Z5*'Cancel Curves'!$B$12</f>
        <v/>
      </c>
      <c r="AA6" s="26">
        <f>$D5*'Cancel Curves'!$Y$12 + $E5*'Cancel Curves'!$X$12 + $F5*'Cancel Curves'!$W$12 + $G5*'Cancel Curves'!$V$12 + $H5*'Cancel Curves'!$U$12 + $I5*'Cancel Curves'!$T$12 + $J5*'Cancel Curves'!$S$12 + $K5*'Cancel Curves'!$R$12 + $L5*'Cancel Curves'!$Q$12 + $M5*'Cancel Curves'!$P$12 + $N5*'Cancel Curves'!$O$12 + $O5*'Cancel Curves'!$N$12 + $P5*'Cancel Curves'!$M$12 + $Q5*'Cancel Curves'!$L$12 + $R5*'Cancel Curves'!$K$12 + $S5*'Cancel Curves'!$J$12 + $T5*'Cancel Curves'!$I$12 + $U5*'Cancel Curves'!$H$12 + $V5*'Cancel Curves'!$G$12 + $W5*'Cancel Curves'!$F$12 + $X5*'Cancel Curves'!$E$12 + $Y5*'Cancel Curves'!$D$12 + $Z5*'Cancel Curves'!$C$12 + $AA5*'Cancel Curves'!$B$12</f>
        <v/>
      </c>
      <c r="AB6" s="26">
        <f>$D5*'Cancel Curves'!$Z$12 + $E5*'Cancel Curves'!$Y$12 + $F5*'Cancel Curves'!$X$12 + $G5*'Cancel Curves'!$W$12 + $H5*'Cancel Curves'!$V$12 + $I5*'Cancel Curves'!$U$12 + $J5*'Cancel Curves'!$T$12 + $K5*'Cancel Curves'!$S$12 + $L5*'Cancel Curves'!$R$12 + $M5*'Cancel Curves'!$Q$12 + $N5*'Cancel Curves'!$P$12 + $O5*'Cancel Curves'!$O$12 + $P5*'Cancel Curves'!$N$12 + $Q5*'Cancel Curves'!$M$12 + $R5*'Cancel Curves'!$L$12 + $S5*'Cancel Curves'!$K$12 + $T5*'Cancel Curves'!$J$12 + $U5*'Cancel Curves'!$I$12 + $V5*'Cancel Curves'!$H$12 + $W5*'Cancel Curves'!$G$12 + $X5*'Cancel Curves'!$F$12 + $Y5*'Cancel Curves'!$E$12 + $Z5*'Cancel Curves'!$D$12 + $AA5*'Cancel Curves'!$C$12 + $AB5*'Cancel Curves'!$B$12</f>
        <v/>
      </c>
      <c r="AC6" s="26">
        <f>$D5*'Cancel Curves'!$AA$12 + $E5*'Cancel Curves'!$Z$12 + $F5*'Cancel Curves'!$Y$12 + $G5*'Cancel Curves'!$X$12 + $H5*'Cancel Curves'!$W$12 + $I5*'Cancel Curves'!$V$12 + $J5*'Cancel Curves'!$U$12 + $K5*'Cancel Curves'!$T$12 + $L5*'Cancel Curves'!$S$12 + $M5*'Cancel Curves'!$R$12 + $N5*'Cancel Curves'!$Q$12 + $O5*'Cancel Curves'!$P$12 + $P5*'Cancel Curves'!$O$12 + $Q5*'Cancel Curves'!$N$12 + $R5*'Cancel Curves'!$M$12 + $S5*'Cancel Curves'!$L$12 + $T5*'Cancel Curves'!$K$12 + $U5*'Cancel Curves'!$J$12 + $V5*'Cancel Curves'!$I$12 + $W5*'Cancel Curves'!$H$12 + $X5*'Cancel Curves'!$G$12 + $Y5*'Cancel Curves'!$F$12 + $Z5*'Cancel Curves'!$E$12 + $AA5*'Cancel Curves'!$D$12 + $AB5*'Cancel Curves'!$C$12 + $AC5*'Cancel Curves'!$B$12</f>
        <v/>
      </c>
      <c r="AD6" s="26">
        <f>$D5*'Cancel Curves'!$AB$12 + $E5*'Cancel Curves'!$AA$12 + $F5*'Cancel Curves'!$Z$12 + $G5*'Cancel Curves'!$Y$12 + $H5*'Cancel Curves'!$X$12 + $I5*'Cancel Curves'!$W$12 + $J5*'Cancel Curves'!$V$12 + $K5*'Cancel Curves'!$U$12 + $L5*'Cancel Curves'!$T$12 + $M5*'Cancel Curves'!$S$12 + $N5*'Cancel Curves'!$R$12 + $O5*'Cancel Curves'!$Q$12 + $P5*'Cancel Curves'!$P$12 + $Q5*'Cancel Curves'!$O$12 + $R5*'Cancel Curves'!$N$12 + $S5*'Cancel Curves'!$M$12 + $T5*'Cancel Curves'!$L$12 + $U5*'Cancel Curves'!$K$12 + $V5*'Cancel Curves'!$J$12 + $W5*'Cancel Curves'!$I$12 + $X5*'Cancel Curves'!$H$12 + $Y5*'Cancel Curves'!$G$12 + $Z5*'Cancel Curves'!$F$12 + $AA5*'Cancel Curves'!$E$12 + $AB5*'Cancel Curves'!$D$12 + $AC5*'Cancel Curves'!$C$12 + $AD5*'Cancel Curves'!$B$12</f>
        <v/>
      </c>
      <c r="AE6" s="26">
        <f>$D5*'Cancel Curves'!$AC$12 + $E5*'Cancel Curves'!$AB$12 + $F5*'Cancel Curves'!$AA$12 + $G5*'Cancel Curves'!$Z$12 + $H5*'Cancel Curves'!$Y$12 + $I5*'Cancel Curves'!$X$12 + $J5*'Cancel Curves'!$W$12 + $K5*'Cancel Curves'!$V$12 + $L5*'Cancel Curves'!$U$12 + $M5*'Cancel Curves'!$T$12 + $N5*'Cancel Curves'!$S$12 + $O5*'Cancel Curves'!$R$12 + $P5*'Cancel Curves'!$Q$12 + $Q5*'Cancel Curves'!$P$12 + $R5*'Cancel Curves'!$O$12 + $S5*'Cancel Curves'!$N$12 + $T5*'Cancel Curves'!$M$12 + $U5*'Cancel Curves'!$L$12 + $V5*'Cancel Curves'!$K$12 + $W5*'Cancel Curves'!$J$12 + $X5*'Cancel Curves'!$I$12 + $Y5*'Cancel Curves'!$H$12 + $Z5*'Cancel Curves'!$G$12 + $AA5*'Cancel Curves'!$F$12 + $AB5*'Cancel Curves'!$E$12 + $AC5*'Cancel Curves'!$D$12 + $AD5*'Cancel Curves'!$C$12 + $AE5*'Cancel Curves'!$B$12</f>
        <v/>
      </c>
      <c r="AF6" s="26">
        <f>$D5*'Cancel Curves'!$AD$12 + $E5*'Cancel Curves'!$AC$12 + $F5*'Cancel Curves'!$AB$12 + $G5*'Cancel Curves'!$AA$12 + $H5*'Cancel Curves'!$Z$12 + $I5*'Cancel Curves'!$Y$12 + $J5*'Cancel Curves'!$X$12 + $K5*'Cancel Curves'!$W$12 + $L5*'Cancel Curves'!$V$12 + $M5*'Cancel Curves'!$U$12 + $N5*'Cancel Curves'!$T$12 + $O5*'Cancel Curves'!$S$12 + $P5*'Cancel Curves'!$R$12 + $Q5*'Cancel Curves'!$Q$12 + $R5*'Cancel Curves'!$P$12 + $S5*'Cancel Curves'!$O$12 + $T5*'Cancel Curves'!$N$12 + $U5*'Cancel Curves'!$M$12 + $V5*'Cancel Curves'!$L$12 + $W5*'Cancel Curves'!$K$12 + $X5*'Cancel Curves'!$J$12 + $Y5*'Cancel Curves'!$I$12 + $Z5*'Cancel Curves'!$H$12 + $AA5*'Cancel Curves'!$G$12 + $AB5*'Cancel Curves'!$F$12 + $AC5*'Cancel Curves'!$E$12 + $AD5*'Cancel Curves'!$D$12 + $AE5*'Cancel Curves'!$C$12 + $AF5*'Cancel Curves'!$B$12</f>
        <v/>
      </c>
      <c r="AG6" s="26">
        <f>$D5*'Cancel Curves'!$AE$12 + $E5*'Cancel Curves'!$AD$12 + $F5*'Cancel Curves'!$AC$12 + $G5*'Cancel Curves'!$AB$12 + $H5*'Cancel Curves'!$AA$12 + $I5*'Cancel Curves'!$Z$12 + $J5*'Cancel Curves'!$Y$12 + $K5*'Cancel Curves'!$X$12 + $L5*'Cancel Curves'!$W$12 + $M5*'Cancel Curves'!$V$12 + $N5*'Cancel Curves'!$U$12 + $O5*'Cancel Curves'!$T$12 + $P5*'Cancel Curves'!$S$12 + $Q5*'Cancel Curves'!$R$12 + $R5*'Cancel Curves'!$Q$12 + $S5*'Cancel Curves'!$P$12 + $T5*'Cancel Curves'!$O$12 + $U5*'Cancel Curves'!$N$12 + $V5*'Cancel Curves'!$M$12 + $W5*'Cancel Curves'!$L$12 + $X5*'Cancel Curves'!$K$12 + $Y5*'Cancel Curves'!$J$12 + $Z5*'Cancel Curves'!$I$12 + $AA5*'Cancel Curves'!$H$12 + $AB5*'Cancel Curves'!$G$12 + $AC5*'Cancel Curves'!$F$12 + $AD5*'Cancel Curves'!$E$12 + $AE5*'Cancel Curves'!$D$12 + $AF5*'Cancel Curves'!$C$12 + $AG5*'Cancel Curves'!$B$12</f>
        <v/>
      </c>
      <c r="AH6" s="26">
        <f>$E5*'Cancel Curves'!$AE$12 + $F5*'Cancel Curves'!$AD$12 + $G5*'Cancel Curves'!$AC$12 + $H5*'Cancel Curves'!$AB$12 + $I5*'Cancel Curves'!$AA$12 + $J5*'Cancel Curves'!$Z$12 + $K5*'Cancel Curves'!$Y$12 + $L5*'Cancel Curves'!$X$12 + $M5*'Cancel Curves'!$W$12 + $N5*'Cancel Curves'!$V$12 + $O5*'Cancel Curves'!$U$12 + $P5*'Cancel Curves'!$T$12 + $Q5*'Cancel Curves'!$S$12 + $R5*'Cancel Curves'!$R$12 + $S5*'Cancel Curves'!$Q$12 + $T5*'Cancel Curves'!$P$12 + $U5*'Cancel Curves'!$O$12 + $V5*'Cancel Curves'!$N$12 + $W5*'Cancel Curves'!$M$12 + $X5*'Cancel Curves'!$L$12 + $Y5*'Cancel Curves'!$K$12 + $Z5*'Cancel Curves'!$J$12 + $AA5*'Cancel Curves'!$I$12 + $AB5*'Cancel Curves'!$H$12 + $AC5*'Cancel Curves'!$G$12 + $AD5*'Cancel Curves'!$F$12 + $AE5*'Cancel Curves'!$E$12 + $AF5*'Cancel Curves'!$D$12 + $AG5*'Cancel Curves'!$C$12 + $AH5*'Cancel Curves'!$B$12</f>
        <v/>
      </c>
      <c r="AI6" s="26">
        <f>$F5*'Cancel Curves'!$AE$12 + $G5*'Cancel Curves'!$AD$12 + $H5*'Cancel Curves'!$AC$12 + $I5*'Cancel Curves'!$AB$12 + $J5*'Cancel Curves'!$AA$12 + $K5*'Cancel Curves'!$Z$12 + $L5*'Cancel Curves'!$Y$12 + $M5*'Cancel Curves'!$X$12 + $N5*'Cancel Curves'!$W$12 + $O5*'Cancel Curves'!$V$12 + $P5*'Cancel Curves'!$U$12 + $Q5*'Cancel Curves'!$T$12 + $R5*'Cancel Curves'!$S$12 + $S5*'Cancel Curves'!$R$12 + $T5*'Cancel Curves'!$Q$12 + $U5*'Cancel Curves'!$P$12 + $V5*'Cancel Curves'!$O$12 + $W5*'Cancel Curves'!$N$12 + $X5*'Cancel Curves'!$M$12 + $Y5*'Cancel Curves'!$L$12 + $Z5*'Cancel Curves'!$K$12 + $AA5*'Cancel Curves'!$J$12 + $AB5*'Cancel Curves'!$I$12 + $AC5*'Cancel Curves'!$H$12 + $AD5*'Cancel Curves'!$G$12 + $AE5*'Cancel Curves'!$F$12 + $AF5*'Cancel Curves'!$E$12 + $AG5*'Cancel Curves'!$D$12 + $AH5*'Cancel Curves'!$C$12 + $AI5*'Cancel Curves'!$B$12</f>
        <v/>
      </c>
      <c r="AJ6" s="26">
        <f>$G5*'Cancel Curves'!$AE$12 + $H5*'Cancel Curves'!$AD$12 + $I5*'Cancel Curves'!$AC$12 + $J5*'Cancel Curves'!$AB$12 + $K5*'Cancel Curves'!$AA$12 + $L5*'Cancel Curves'!$Z$12 + $M5*'Cancel Curves'!$Y$12 + $N5*'Cancel Curves'!$X$12 + $O5*'Cancel Curves'!$W$12 + $P5*'Cancel Curves'!$V$12 + $Q5*'Cancel Curves'!$U$12 + $R5*'Cancel Curves'!$T$12 + $S5*'Cancel Curves'!$S$12 + $T5*'Cancel Curves'!$R$12 + $U5*'Cancel Curves'!$Q$12 + $V5*'Cancel Curves'!$P$12 + $W5*'Cancel Curves'!$O$12 + $X5*'Cancel Curves'!$N$12 + $Y5*'Cancel Curves'!$M$12 + $Z5*'Cancel Curves'!$L$12 + $AA5*'Cancel Curves'!$K$12 + $AB5*'Cancel Curves'!$J$12 + $AC5*'Cancel Curves'!$I$12 + $AD5*'Cancel Curves'!$H$12 + $AE5*'Cancel Curves'!$G$12 + $AF5*'Cancel Curves'!$F$12 + $AG5*'Cancel Curves'!$E$12 + $AH5*'Cancel Curves'!$D$12 + $AI5*'Cancel Curves'!$C$12 + $AJ5*'Cancel Curves'!$B$12</f>
        <v/>
      </c>
      <c r="AK6" s="26">
        <f>$H5*'Cancel Curves'!$AE$12 + $I5*'Cancel Curves'!$AD$12 + $J5*'Cancel Curves'!$AC$12 + $K5*'Cancel Curves'!$AB$12 + $L5*'Cancel Curves'!$AA$12 + $M5*'Cancel Curves'!$Z$12 + $N5*'Cancel Curves'!$Y$12 + $O5*'Cancel Curves'!$X$12 + $P5*'Cancel Curves'!$W$12 + $Q5*'Cancel Curves'!$V$12 + $R5*'Cancel Curves'!$U$12 + $S5*'Cancel Curves'!$T$12 + $T5*'Cancel Curves'!$S$12 + $U5*'Cancel Curves'!$R$12 + $V5*'Cancel Curves'!$Q$12 + $W5*'Cancel Curves'!$P$12 + $X5*'Cancel Curves'!$O$12 + $Y5*'Cancel Curves'!$N$12 + $Z5*'Cancel Curves'!$M$12 + $AA5*'Cancel Curves'!$L$12 + $AB5*'Cancel Curves'!$K$12 + $AC5*'Cancel Curves'!$J$12 + $AD5*'Cancel Curves'!$I$12 + $AE5*'Cancel Curves'!$H$12 + $AF5*'Cancel Curves'!$G$12 + $AG5*'Cancel Curves'!$F$12 + $AH5*'Cancel Curves'!$E$12 + $AI5*'Cancel Curves'!$D$12 + $AJ5*'Cancel Curves'!$C$12 + $AK5*'Cancel Curves'!$B$12</f>
        <v/>
      </c>
      <c r="AL6" s="26">
        <f>$I5*'Cancel Curves'!$AE$12 + $J5*'Cancel Curves'!$AD$12 + $K5*'Cancel Curves'!$AC$12 + $L5*'Cancel Curves'!$AB$12 + $M5*'Cancel Curves'!$AA$12 + $N5*'Cancel Curves'!$Z$12 + $O5*'Cancel Curves'!$Y$12 + $P5*'Cancel Curves'!$X$12 + $Q5*'Cancel Curves'!$W$12 + $R5*'Cancel Curves'!$V$12 + $S5*'Cancel Curves'!$U$12 + $T5*'Cancel Curves'!$T$12 + $U5*'Cancel Curves'!$S$12 + $V5*'Cancel Curves'!$R$12 + $W5*'Cancel Curves'!$Q$12 + $X5*'Cancel Curves'!$P$12 + $Y5*'Cancel Curves'!$O$12 + $Z5*'Cancel Curves'!$N$12 + $AA5*'Cancel Curves'!$M$12 + $AB5*'Cancel Curves'!$L$12 + $AC5*'Cancel Curves'!$K$12 + $AD5*'Cancel Curves'!$J$12 + $AE5*'Cancel Curves'!$I$12 + $AF5*'Cancel Curves'!$H$12 + $AG5*'Cancel Curves'!$G$12 + $AH5*'Cancel Curves'!$F$12 + $AI5*'Cancel Curves'!$E$12 + $AJ5*'Cancel Curves'!$D$12 + $AK5*'Cancel Curves'!$C$12 + $AL5*'Cancel Curves'!$B$12</f>
        <v/>
      </c>
      <c r="AM6" s="26">
        <f>$J5*'Cancel Curves'!$AE$12 + $K5*'Cancel Curves'!$AD$12 + $L5*'Cancel Curves'!$AC$12 + $M5*'Cancel Curves'!$AB$12 + $N5*'Cancel Curves'!$AA$12 + $O5*'Cancel Curves'!$Z$12 + $P5*'Cancel Curves'!$Y$12 + $Q5*'Cancel Curves'!$X$12 + $R5*'Cancel Curves'!$W$12 + $S5*'Cancel Curves'!$V$12 + $T5*'Cancel Curves'!$U$12 + $U5*'Cancel Curves'!$T$12 + $V5*'Cancel Curves'!$S$12 + $W5*'Cancel Curves'!$R$12 + $X5*'Cancel Curves'!$Q$12 + $Y5*'Cancel Curves'!$P$12 + $Z5*'Cancel Curves'!$O$12 + $AA5*'Cancel Curves'!$N$12 + $AB5*'Cancel Curves'!$M$12 + $AC5*'Cancel Curves'!$L$12 + $AD5*'Cancel Curves'!$K$12 + $AE5*'Cancel Curves'!$J$12 + $AF5*'Cancel Curves'!$I$12 + $AG5*'Cancel Curves'!$H$12 + $AH5*'Cancel Curves'!$G$12 + $AI5*'Cancel Curves'!$F$12 + $AJ5*'Cancel Curves'!$E$12 + $AK5*'Cancel Curves'!$D$12 + $AL5*'Cancel Curves'!$C$12 + $AM5*'Cancel Curves'!$B$12</f>
        <v/>
      </c>
      <c r="AN6" s="26">
        <f>$K5*'Cancel Curves'!$AE$12 + $L5*'Cancel Curves'!$AD$12 + $M5*'Cancel Curves'!$AC$12 + $N5*'Cancel Curves'!$AB$12 + $O5*'Cancel Curves'!$AA$12 + $P5*'Cancel Curves'!$Z$12 + $Q5*'Cancel Curves'!$Y$12 + $R5*'Cancel Curves'!$X$12 + $S5*'Cancel Curves'!$W$12 + $T5*'Cancel Curves'!$V$12 + $U5*'Cancel Curves'!$U$12 + $V5*'Cancel Curves'!$T$12 + $W5*'Cancel Curves'!$S$12 + $X5*'Cancel Curves'!$R$12 + $Y5*'Cancel Curves'!$Q$12 + $Z5*'Cancel Curves'!$P$12 + $AA5*'Cancel Curves'!$O$12 + $AB5*'Cancel Curves'!$N$12 + $AC5*'Cancel Curves'!$M$12 + $AD5*'Cancel Curves'!$L$12 + $AE5*'Cancel Curves'!$K$12 + $AF5*'Cancel Curves'!$J$12 + $AG5*'Cancel Curves'!$I$12 + $AH5*'Cancel Curves'!$H$12 + $AI5*'Cancel Curves'!$G$12 + $AJ5*'Cancel Curves'!$F$12 + $AK5*'Cancel Curves'!$E$12 + $AL5*'Cancel Curves'!$D$12 + $AM5*'Cancel Curves'!$C$12 + $AN5*'Cancel Curves'!$B$12</f>
        <v/>
      </c>
      <c r="AO6" s="26">
        <f>$L5*'Cancel Curves'!$AE$12 + $M5*'Cancel Curves'!$AD$12 + $N5*'Cancel Curves'!$AC$12 + $O5*'Cancel Curves'!$AB$12 + $P5*'Cancel Curves'!$AA$12 + $Q5*'Cancel Curves'!$Z$12 + $R5*'Cancel Curves'!$Y$12 + $S5*'Cancel Curves'!$X$12 + $T5*'Cancel Curves'!$W$12 + $U5*'Cancel Curves'!$V$12 + $V5*'Cancel Curves'!$U$12 + $W5*'Cancel Curves'!$T$12 + $X5*'Cancel Curves'!$S$12 + $Y5*'Cancel Curves'!$R$12 + $Z5*'Cancel Curves'!$Q$12 + $AA5*'Cancel Curves'!$P$12 + $AB5*'Cancel Curves'!$O$12 + $AC5*'Cancel Curves'!$N$12 + $AD5*'Cancel Curves'!$M$12 + $AE5*'Cancel Curves'!$L$12 + $AF5*'Cancel Curves'!$K$12 + $AG5*'Cancel Curves'!$J$12 + $AH5*'Cancel Curves'!$I$12 + $AI5*'Cancel Curves'!$H$12 + $AJ5*'Cancel Curves'!$G$12 + $AK5*'Cancel Curves'!$F$12 + $AL5*'Cancel Curves'!$E$12 + $AM5*'Cancel Curves'!$D$12 + $AN5*'Cancel Curves'!$C$12 + $AO5*'Cancel Curves'!$B$12</f>
        <v/>
      </c>
      <c r="AP6" s="26">
        <f>$M5*'Cancel Curves'!$AE$12 + $N5*'Cancel Curves'!$AD$12 + $O5*'Cancel Curves'!$AC$12 + $P5*'Cancel Curves'!$AB$12 + $Q5*'Cancel Curves'!$AA$12 + $R5*'Cancel Curves'!$Z$12 + $S5*'Cancel Curves'!$Y$12 + $T5*'Cancel Curves'!$X$12 + $U5*'Cancel Curves'!$W$12 + $V5*'Cancel Curves'!$V$12 + $W5*'Cancel Curves'!$U$12 + $X5*'Cancel Curves'!$T$12 + $Y5*'Cancel Curves'!$S$12 + $Z5*'Cancel Curves'!$R$12 + $AA5*'Cancel Curves'!$Q$12 + $AB5*'Cancel Curves'!$P$12 + $AC5*'Cancel Curves'!$O$12 + $AD5*'Cancel Curves'!$N$12 + $AE5*'Cancel Curves'!$M$12 + $AF5*'Cancel Curves'!$L$12 + $AG5*'Cancel Curves'!$K$12 + $AH5*'Cancel Curves'!$J$12 + $AI5*'Cancel Curves'!$I$12 + $AJ5*'Cancel Curves'!$H$12 + $AK5*'Cancel Curves'!$G$12 + $AL5*'Cancel Curves'!$F$12 + $AM5*'Cancel Curves'!$E$12 + $AN5*'Cancel Curves'!$D$12 + $AO5*'Cancel Curves'!$C$12 + $AP5*'Cancel Curves'!$B$12</f>
        <v/>
      </c>
      <c r="AQ6" s="26">
        <f>$N5*'Cancel Curves'!$AE$12 + $O5*'Cancel Curves'!$AD$12 + $P5*'Cancel Curves'!$AC$12 + $Q5*'Cancel Curves'!$AB$12 + $R5*'Cancel Curves'!$AA$12 + $S5*'Cancel Curves'!$Z$12 + $T5*'Cancel Curves'!$Y$12 + $U5*'Cancel Curves'!$X$12 + $V5*'Cancel Curves'!$W$12 + $W5*'Cancel Curves'!$V$12 + $X5*'Cancel Curves'!$U$12 + $Y5*'Cancel Curves'!$T$12 + $Z5*'Cancel Curves'!$S$12 + $AA5*'Cancel Curves'!$R$12 + $AB5*'Cancel Curves'!$Q$12 + $AC5*'Cancel Curves'!$P$12 + $AD5*'Cancel Curves'!$O$12 + $AE5*'Cancel Curves'!$N$12 + $AF5*'Cancel Curves'!$M$12 + $AG5*'Cancel Curves'!$L$12 + $AH5*'Cancel Curves'!$K$12 + $AI5*'Cancel Curves'!$J$12 + $AJ5*'Cancel Curves'!$I$12 + $AK5*'Cancel Curves'!$H$12 + $AL5*'Cancel Curves'!$G$12 + $AM5*'Cancel Curves'!$F$12 + $AN5*'Cancel Curves'!$E$12 + $AO5*'Cancel Curves'!$D$12 + $AP5*'Cancel Curves'!$C$12 + $AQ5*'Cancel Curves'!$B$12</f>
        <v/>
      </c>
      <c r="AR6" s="26">
        <f>$O5*'Cancel Curves'!$AE$12 + $P5*'Cancel Curves'!$AD$12 + $Q5*'Cancel Curves'!$AC$12 + $R5*'Cancel Curves'!$AB$12 + $S5*'Cancel Curves'!$AA$12 + $T5*'Cancel Curves'!$Z$12 + $U5*'Cancel Curves'!$Y$12 + $V5*'Cancel Curves'!$X$12 + $W5*'Cancel Curves'!$W$12 + $X5*'Cancel Curves'!$V$12 + $Y5*'Cancel Curves'!$U$12 + $Z5*'Cancel Curves'!$T$12 + $AA5*'Cancel Curves'!$S$12 + $AB5*'Cancel Curves'!$R$12 + $AC5*'Cancel Curves'!$Q$12 + $AD5*'Cancel Curves'!$P$12 + $AE5*'Cancel Curves'!$O$12 + $AF5*'Cancel Curves'!$N$12 + $AG5*'Cancel Curves'!$M$12 + $AH5*'Cancel Curves'!$L$12 + $AI5*'Cancel Curves'!$K$12 + $AJ5*'Cancel Curves'!$J$12 + $AK5*'Cancel Curves'!$I$12 + $AL5*'Cancel Curves'!$H$12 + $AM5*'Cancel Curves'!$G$12 + $AN5*'Cancel Curves'!$F$12 + $AO5*'Cancel Curves'!$E$12 + $AP5*'Cancel Curves'!$D$12 + $AQ5*'Cancel Curves'!$C$12 + $AR5*'Cancel Curves'!$B$12</f>
        <v/>
      </c>
      <c r="AS6" s="26">
        <f>$P5*'Cancel Curves'!$AE$12 + $Q5*'Cancel Curves'!$AD$12 + $R5*'Cancel Curves'!$AC$12 + $S5*'Cancel Curves'!$AB$12 + $T5*'Cancel Curves'!$AA$12 + $U5*'Cancel Curves'!$Z$12 + $V5*'Cancel Curves'!$Y$12 + $W5*'Cancel Curves'!$X$12 + $X5*'Cancel Curves'!$W$12 + $Y5*'Cancel Curves'!$V$12 + $Z5*'Cancel Curves'!$U$12 + $AA5*'Cancel Curves'!$T$12 + $AB5*'Cancel Curves'!$S$12 + $AC5*'Cancel Curves'!$R$12 + $AD5*'Cancel Curves'!$Q$12 + $AE5*'Cancel Curves'!$P$12 + $AF5*'Cancel Curves'!$O$12 + $AG5*'Cancel Curves'!$N$12 + $AH5*'Cancel Curves'!$M$12 + $AI5*'Cancel Curves'!$L$12 + $AJ5*'Cancel Curves'!$K$12 + $AK5*'Cancel Curves'!$J$12 + $AL5*'Cancel Curves'!$I$12 + $AM5*'Cancel Curves'!$H$12 + $AN5*'Cancel Curves'!$G$12 + $AO5*'Cancel Curves'!$F$12 + $AP5*'Cancel Curves'!$E$12 + $AQ5*'Cancel Curves'!$D$12 + $AR5*'Cancel Curves'!$C$12 + $AS5*'Cancel Curves'!$B$12</f>
        <v/>
      </c>
      <c r="AT6" s="26">
        <f>$Q5*'Cancel Curves'!$AE$12 + $R5*'Cancel Curves'!$AD$12 + $S5*'Cancel Curves'!$AC$12 + $T5*'Cancel Curves'!$AB$12 + $U5*'Cancel Curves'!$AA$12 + $V5*'Cancel Curves'!$Z$12 + $W5*'Cancel Curves'!$Y$12 + $X5*'Cancel Curves'!$X$12 + $Y5*'Cancel Curves'!$W$12 + $Z5*'Cancel Curves'!$V$12 + $AA5*'Cancel Curves'!$U$12 + $AB5*'Cancel Curves'!$T$12 + $AC5*'Cancel Curves'!$S$12 + $AD5*'Cancel Curves'!$R$12 + $AE5*'Cancel Curves'!$Q$12 + $AF5*'Cancel Curves'!$P$12 + $AG5*'Cancel Curves'!$O$12 + $AH5*'Cancel Curves'!$N$12 + $AI5*'Cancel Curves'!$M$12 + $AJ5*'Cancel Curves'!$L$12 + $AK5*'Cancel Curves'!$K$12 + $AL5*'Cancel Curves'!$J$12 + $AM5*'Cancel Curves'!$I$12 + $AN5*'Cancel Curves'!$H$12 + $AO5*'Cancel Curves'!$G$12 + $AP5*'Cancel Curves'!$F$12 + $AQ5*'Cancel Curves'!$E$12 + $AR5*'Cancel Curves'!$D$12 + $AS5*'Cancel Curves'!$C$12 + $AT5*'Cancel Curves'!$B$12</f>
        <v/>
      </c>
      <c r="AU6" s="26">
        <f>$R5*'Cancel Curves'!$AE$12 + $S5*'Cancel Curves'!$AD$12 + $T5*'Cancel Curves'!$AC$12 + $U5*'Cancel Curves'!$AB$12 + $V5*'Cancel Curves'!$AA$12 + $W5*'Cancel Curves'!$Z$12 + $X5*'Cancel Curves'!$Y$12 + $Y5*'Cancel Curves'!$X$12 + $Z5*'Cancel Curves'!$W$12 + $AA5*'Cancel Curves'!$V$12 + $AB5*'Cancel Curves'!$U$12 + $AC5*'Cancel Curves'!$T$12 + $AD5*'Cancel Curves'!$S$12 + $AE5*'Cancel Curves'!$R$12 + $AF5*'Cancel Curves'!$Q$12 + $AG5*'Cancel Curves'!$P$12 + $AH5*'Cancel Curves'!$O$12 + $AI5*'Cancel Curves'!$N$12 + $AJ5*'Cancel Curves'!$M$12 + $AK5*'Cancel Curves'!$L$12 + $AL5*'Cancel Curves'!$K$12 + $AM5*'Cancel Curves'!$J$12 + $AN5*'Cancel Curves'!$I$12 + $AO5*'Cancel Curves'!$H$12 + $AP5*'Cancel Curves'!$G$12 + $AQ5*'Cancel Curves'!$F$12 + $AR5*'Cancel Curves'!$E$12 + $AS5*'Cancel Curves'!$D$12 + $AT5*'Cancel Curves'!$C$12 + $AU5*'Cancel Curves'!$B$12</f>
        <v/>
      </c>
      <c r="AV6" s="26">
        <f>$S5*'Cancel Curves'!$AE$12 + $T5*'Cancel Curves'!$AD$12 + $U5*'Cancel Curves'!$AC$12 + $V5*'Cancel Curves'!$AB$12 + $W5*'Cancel Curves'!$AA$12 + $X5*'Cancel Curves'!$Z$12 + $Y5*'Cancel Curves'!$Y$12 + $Z5*'Cancel Curves'!$X$12 + $AA5*'Cancel Curves'!$W$12 + $AB5*'Cancel Curves'!$V$12 + $AC5*'Cancel Curves'!$U$12 + $AD5*'Cancel Curves'!$T$12 + $AE5*'Cancel Curves'!$S$12 + $AF5*'Cancel Curves'!$R$12 + $AG5*'Cancel Curves'!$Q$12 + $AH5*'Cancel Curves'!$P$12 + $AI5*'Cancel Curves'!$O$12 + $AJ5*'Cancel Curves'!$N$12 + $AK5*'Cancel Curves'!$M$12 + $AL5*'Cancel Curves'!$L$12 + $AM5*'Cancel Curves'!$K$12 + $AN5*'Cancel Curves'!$J$12 + $AO5*'Cancel Curves'!$I$12 + $AP5*'Cancel Curves'!$H$12 + $AQ5*'Cancel Curves'!$G$12 + $AR5*'Cancel Curves'!$F$12 + $AS5*'Cancel Curves'!$E$12 + $AT5*'Cancel Curves'!$D$12 + $AU5*'Cancel Curves'!$C$12 + $AV5*'Cancel Curves'!$B$12</f>
        <v/>
      </c>
      <c r="AW6" s="26">
        <f>$T5*'Cancel Curves'!$AE$12 + $U5*'Cancel Curves'!$AD$12 + $V5*'Cancel Curves'!$AC$12 + $W5*'Cancel Curves'!$AB$12 + $X5*'Cancel Curves'!$AA$12 + $Y5*'Cancel Curves'!$Z$12 + $Z5*'Cancel Curves'!$Y$12 + $AA5*'Cancel Curves'!$X$12 + $AB5*'Cancel Curves'!$W$12 + $AC5*'Cancel Curves'!$V$12 + $AD5*'Cancel Curves'!$U$12 + $AE5*'Cancel Curves'!$T$12 + $AF5*'Cancel Curves'!$S$12 + $AG5*'Cancel Curves'!$R$12 + $AH5*'Cancel Curves'!$Q$12 + $AI5*'Cancel Curves'!$P$12 + $AJ5*'Cancel Curves'!$O$12 + $AK5*'Cancel Curves'!$N$12 + $AL5*'Cancel Curves'!$M$12 + $AM5*'Cancel Curves'!$L$12 + $AN5*'Cancel Curves'!$K$12 + $AO5*'Cancel Curves'!$J$12 + $AP5*'Cancel Curves'!$I$12 + $AQ5*'Cancel Curves'!$H$12 + $AR5*'Cancel Curves'!$G$12 + $AS5*'Cancel Curves'!$F$12 + $AT5*'Cancel Curves'!$E$12 + $AU5*'Cancel Curves'!$D$12 + $AV5*'Cancel Curves'!$C$12 + $AW5*'Cancel Curves'!$B$12</f>
        <v/>
      </c>
      <c r="AX6" s="26">
        <f>$U5*'Cancel Curves'!$AE$12 + $V5*'Cancel Curves'!$AD$12 + $W5*'Cancel Curves'!$AC$12 + $X5*'Cancel Curves'!$AB$12 + $Y5*'Cancel Curves'!$AA$12 + $Z5*'Cancel Curves'!$Z$12 + $AA5*'Cancel Curves'!$Y$12 + $AB5*'Cancel Curves'!$X$12 + $AC5*'Cancel Curves'!$W$12 + $AD5*'Cancel Curves'!$V$12 + $AE5*'Cancel Curves'!$U$12 + $AF5*'Cancel Curves'!$T$12 + $AG5*'Cancel Curves'!$S$12 + $AH5*'Cancel Curves'!$R$12 + $AI5*'Cancel Curves'!$Q$12 + $AJ5*'Cancel Curves'!$P$12 + $AK5*'Cancel Curves'!$O$12 + $AL5*'Cancel Curves'!$N$12 + $AM5*'Cancel Curves'!$M$12 + $AN5*'Cancel Curves'!$L$12 + $AO5*'Cancel Curves'!$K$12 + $AP5*'Cancel Curves'!$J$12 + $AQ5*'Cancel Curves'!$I$12 + $AR5*'Cancel Curves'!$H$12 + $AS5*'Cancel Curves'!$G$12 + $AT5*'Cancel Curves'!$F$12 + $AU5*'Cancel Curves'!$E$12 + $AV5*'Cancel Curves'!$D$12 + $AW5*'Cancel Curves'!$C$12 + $AX5*'Cancel Curves'!$B$12</f>
        <v/>
      </c>
      <c r="AY6" s="26">
        <f>$V5*'Cancel Curves'!$AE$12 + $W5*'Cancel Curves'!$AD$12 + $X5*'Cancel Curves'!$AC$12 + $Y5*'Cancel Curves'!$AB$12 + $Z5*'Cancel Curves'!$AA$12 + $AA5*'Cancel Curves'!$Z$12 + $AB5*'Cancel Curves'!$Y$12 + $AC5*'Cancel Curves'!$X$12 + $AD5*'Cancel Curves'!$W$12 + $AE5*'Cancel Curves'!$V$12 + $AF5*'Cancel Curves'!$U$12 + $AG5*'Cancel Curves'!$T$12 + $AH5*'Cancel Curves'!$S$12 + $AI5*'Cancel Curves'!$R$12 + $AJ5*'Cancel Curves'!$Q$12 + $AK5*'Cancel Curves'!$P$12 + $AL5*'Cancel Curves'!$O$12 + $AM5*'Cancel Curves'!$N$12 + $AN5*'Cancel Curves'!$M$12 + $AO5*'Cancel Curves'!$L$12 + $AP5*'Cancel Curves'!$K$12 + $AQ5*'Cancel Curves'!$J$12 + $AR5*'Cancel Curves'!$I$12 + $AS5*'Cancel Curves'!$H$12 + $AT5*'Cancel Curves'!$G$12 + $AU5*'Cancel Curves'!$F$12 + $AV5*'Cancel Curves'!$E$12 + $AW5*'Cancel Curves'!$D$12 + $AX5*'Cancel Curves'!$C$12 + $AY5*'Cancel Curves'!$B$12</f>
        <v/>
      </c>
      <c r="AZ6" s="26">
        <f>$W5*'Cancel Curves'!$AE$12 + $X5*'Cancel Curves'!$AD$12 + $Y5*'Cancel Curves'!$AC$12 + $Z5*'Cancel Curves'!$AB$12 + $AA5*'Cancel Curves'!$AA$12 + $AB5*'Cancel Curves'!$Z$12 + $AC5*'Cancel Curves'!$Y$12 + $AD5*'Cancel Curves'!$X$12 + $AE5*'Cancel Curves'!$W$12 + $AF5*'Cancel Curves'!$V$12 + $AG5*'Cancel Curves'!$U$12 + $AH5*'Cancel Curves'!$T$12 + $AI5*'Cancel Curves'!$S$12 + $AJ5*'Cancel Curves'!$R$12 + $AK5*'Cancel Curves'!$Q$12 + $AL5*'Cancel Curves'!$P$12 + $AM5*'Cancel Curves'!$O$12 + $AN5*'Cancel Curves'!$N$12 + $AO5*'Cancel Curves'!$M$12 + $AP5*'Cancel Curves'!$L$12 + $AQ5*'Cancel Curves'!$K$12 + $AR5*'Cancel Curves'!$J$12 + $AS5*'Cancel Curves'!$I$12 + $AT5*'Cancel Curves'!$H$12 + $AU5*'Cancel Curves'!$G$12 + $AV5*'Cancel Curves'!$F$12 + $AW5*'Cancel Curves'!$E$12 + $AX5*'Cancel Curves'!$D$12 + $AY5*'Cancel Curves'!$C$12 + $AZ5*'Cancel Curves'!$B$12</f>
        <v/>
      </c>
      <c r="BA6" s="26">
        <f>$X5*'Cancel Curves'!$AE$12 + $Y5*'Cancel Curves'!$AD$12 + $Z5*'Cancel Curves'!$AC$12 + $AA5*'Cancel Curves'!$AB$12 + $AB5*'Cancel Curves'!$AA$12 + $AC5*'Cancel Curves'!$Z$12 + $AD5*'Cancel Curves'!$Y$12 + $AE5*'Cancel Curves'!$X$12 + $AF5*'Cancel Curves'!$W$12 + $AG5*'Cancel Curves'!$V$12 + $AH5*'Cancel Curves'!$U$12 + $AI5*'Cancel Curves'!$T$12 + $AJ5*'Cancel Curves'!$S$12 + $AK5*'Cancel Curves'!$R$12 + $AL5*'Cancel Curves'!$Q$12 + $AM5*'Cancel Curves'!$P$12 + $AN5*'Cancel Curves'!$O$12 + $AO5*'Cancel Curves'!$N$12 + $AP5*'Cancel Curves'!$M$12 + $AQ5*'Cancel Curves'!$L$12 + $AR5*'Cancel Curves'!$K$12 + $AS5*'Cancel Curves'!$J$12 + $AT5*'Cancel Curves'!$I$12 + $AU5*'Cancel Curves'!$H$12 + $AV5*'Cancel Curves'!$G$12 + $AW5*'Cancel Curves'!$F$12 + $AX5*'Cancel Curves'!$E$12 + $AY5*'Cancel Curves'!$D$12 + $AZ5*'Cancel Curves'!$C$12 + $BA5*'Cancel Curves'!$B$12</f>
        <v/>
      </c>
      <c r="BB6" s="26">
        <f>$Y5*'Cancel Curves'!$AE$12 + $Z5*'Cancel Curves'!$AD$12 + $AA5*'Cancel Curves'!$AC$12 + $AB5*'Cancel Curves'!$AB$12 + $AC5*'Cancel Curves'!$AA$12 + $AD5*'Cancel Curves'!$Z$12 + $AE5*'Cancel Curves'!$Y$12 + $AF5*'Cancel Curves'!$X$12 + $AG5*'Cancel Curves'!$W$12 + $AH5*'Cancel Curves'!$V$12 + $AI5*'Cancel Curves'!$U$12 + $AJ5*'Cancel Curves'!$T$12 + $AK5*'Cancel Curves'!$S$12 + $AL5*'Cancel Curves'!$R$12 + $AM5*'Cancel Curves'!$Q$12 + $AN5*'Cancel Curves'!$P$12 + $AO5*'Cancel Curves'!$O$12 + $AP5*'Cancel Curves'!$N$12 + $AQ5*'Cancel Curves'!$M$12 + $AR5*'Cancel Curves'!$L$12 + $AS5*'Cancel Curves'!$K$12 + $AT5*'Cancel Curves'!$J$12 + $AU5*'Cancel Curves'!$I$12 + $AV5*'Cancel Curves'!$H$12 + $AW5*'Cancel Curves'!$G$12 + $AX5*'Cancel Curves'!$F$12 + $AY5*'Cancel Curves'!$E$12 + $AZ5*'Cancel Curves'!$D$12 + $BA5*'Cancel Curves'!$C$12 + $BB5*'Cancel Curves'!$B$12</f>
        <v/>
      </c>
      <c r="BC6" s="26">
        <f>$Z5*'Cancel Curves'!$AE$12 + $AA5*'Cancel Curves'!$AD$12 + $AB5*'Cancel Curves'!$AC$12 + $AC5*'Cancel Curves'!$AB$12 + $AD5*'Cancel Curves'!$AA$12 + $AE5*'Cancel Curves'!$Z$12 + $AF5*'Cancel Curves'!$Y$12 + $AG5*'Cancel Curves'!$X$12 + $AH5*'Cancel Curves'!$W$12 + $AI5*'Cancel Curves'!$V$12 + $AJ5*'Cancel Curves'!$U$12 + $AK5*'Cancel Curves'!$T$12 + $AL5*'Cancel Curves'!$S$12 + $AM5*'Cancel Curves'!$R$12 + $AN5*'Cancel Curves'!$Q$12 + $AO5*'Cancel Curves'!$P$12 + $AP5*'Cancel Curves'!$O$12 + $AQ5*'Cancel Curves'!$N$12 + $AR5*'Cancel Curves'!$M$12 + $AS5*'Cancel Curves'!$L$12 + $AT5*'Cancel Curves'!$K$12 + $AU5*'Cancel Curves'!$J$12 + $AV5*'Cancel Curves'!$I$12 + $AW5*'Cancel Curves'!$H$12 + $AX5*'Cancel Curves'!$G$12 + $AY5*'Cancel Curves'!$F$12 + $AZ5*'Cancel Curves'!$E$12 + $BA5*'Cancel Curves'!$D$12 + $BB5*'Cancel Curves'!$C$12 + $BC5*'Cancel Curves'!$B$12</f>
        <v/>
      </c>
      <c r="BD6" s="26">
        <f>$AA5*'Cancel Curves'!$AE$12 + $AB5*'Cancel Curves'!$AD$12 + $AC5*'Cancel Curves'!$AC$12 + $AD5*'Cancel Curves'!$AB$12 + $AE5*'Cancel Curves'!$AA$12 + $AF5*'Cancel Curves'!$Z$12 + $AG5*'Cancel Curves'!$Y$12 + $AH5*'Cancel Curves'!$X$12 + $AI5*'Cancel Curves'!$W$12 + $AJ5*'Cancel Curves'!$V$12 + $AK5*'Cancel Curves'!$U$12 + $AL5*'Cancel Curves'!$T$12 + $AM5*'Cancel Curves'!$S$12 + $AN5*'Cancel Curves'!$R$12 + $AO5*'Cancel Curves'!$Q$12 + $AP5*'Cancel Curves'!$P$12 + $AQ5*'Cancel Curves'!$O$12 + $AR5*'Cancel Curves'!$N$12 + $AS5*'Cancel Curves'!$M$12 + $AT5*'Cancel Curves'!$L$12 + $AU5*'Cancel Curves'!$K$12 + $AV5*'Cancel Curves'!$J$12 + $AW5*'Cancel Curves'!$I$12 + $AX5*'Cancel Curves'!$H$12 + $AY5*'Cancel Curves'!$G$12 + $AZ5*'Cancel Curves'!$F$12 + $BA5*'Cancel Curves'!$E$12 + $BB5*'Cancel Curves'!$D$12 + $BC5*'Cancel Curves'!$C$12 + $BD5*'Cancel Curves'!$B$12</f>
        <v/>
      </c>
      <c r="BE6" s="26">
        <f>$AB5*'Cancel Curves'!$AE$12 + $AC5*'Cancel Curves'!$AD$12 + $AD5*'Cancel Curves'!$AC$12 + $AE5*'Cancel Curves'!$AB$12 + $AF5*'Cancel Curves'!$AA$12 + $AG5*'Cancel Curves'!$Z$12 + $AH5*'Cancel Curves'!$Y$12 + $AI5*'Cancel Curves'!$X$12 + $AJ5*'Cancel Curves'!$W$12 + $AK5*'Cancel Curves'!$V$12 + $AL5*'Cancel Curves'!$U$12 + $AM5*'Cancel Curves'!$T$12 + $AN5*'Cancel Curves'!$S$12 + $AO5*'Cancel Curves'!$R$12 + $AP5*'Cancel Curves'!$Q$12 + $AQ5*'Cancel Curves'!$P$12 + $AR5*'Cancel Curves'!$O$12 + $AS5*'Cancel Curves'!$N$12 + $AT5*'Cancel Curves'!$M$12 + $AU5*'Cancel Curves'!$L$12 + $AV5*'Cancel Curves'!$K$12 + $AW5*'Cancel Curves'!$J$12 + $AX5*'Cancel Curves'!$I$12 + $AY5*'Cancel Curves'!$H$12 + $AZ5*'Cancel Curves'!$G$12 + $BA5*'Cancel Curves'!$F$12 + $BB5*'Cancel Curves'!$E$12 + $BC5*'Cancel Curves'!$D$12 + $BD5*'Cancel Curves'!$C$12 + $BE5*'Cancel Curves'!$B$12</f>
        <v/>
      </c>
      <c r="BF6" s="26">
        <f>$AC5*'Cancel Curves'!$AE$12 + $AD5*'Cancel Curves'!$AD$12 + $AE5*'Cancel Curves'!$AC$12 + $AF5*'Cancel Curves'!$AB$12 + $AG5*'Cancel Curves'!$AA$12 + $AH5*'Cancel Curves'!$Z$12 + $AI5*'Cancel Curves'!$Y$12 + $AJ5*'Cancel Curves'!$X$12 + $AK5*'Cancel Curves'!$W$12 + $AL5*'Cancel Curves'!$V$12 + $AM5*'Cancel Curves'!$U$12 + $AN5*'Cancel Curves'!$T$12 + $AO5*'Cancel Curves'!$S$12 + $AP5*'Cancel Curves'!$R$12 + $AQ5*'Cancel Curves'!$Q$12 + $AR5*'Cancel Curves'!$P$12 + $AS5*'Cancel Curves'!$O$12 + $AT5*'Cancel Curves'!$N$12 + $AU5*'Cancel Curves'!$M$12 + $AV5*'Cancel Curves'!$L$12 + $AW5*'Cancel Curves'!$K$12 + $AX5*'Cancel Curves'!$J$12 + $AY5*'Cancel Curves'!$I$12 + $AZ5*'Cancel Curves'!$H$12 + $BA5*'Cancel Curves'!$G$12 + $BB5*'Cancel Curves'!$F$12 + $BC5*'Cancel Curves'!$E$12 + $BD5*'Cancel Curves'!$D$12 + $BE5*'Cancel Curves'!$C$12 + $BF5*'Cancel Curves'!$B$12</f>
        <v/>
      </c>
      <c r="BG6" s="26">
        <f>$AD5*'Cancel Curves'!$AE$12 + $AE5*'Cancel Curves'!$AD$12 + $AF5*'Cancel Curves'!$AC$12 + $AG5*'Cancel Curves'!$AB$12 + $AH5*'Cancel Curves'!$AA$12 + $AI5*'Cancel Curves'!$Z$12 + $AJ5*'Cancel Curves'!$Y$12 + $AK5*'Cancel Curves'!$X$12 + $AL5*'Cancel Curves'!$W$12 + $AM5*'Cancel Curves'!$V$12 + $AN5*'Cancel Curves'!$U$12 + $AO5*'Cancel Curves'!$T$12 + $AP5*'Cancel Curves'!$S$12 + $AQ5*'Cancel Curves'!$R$12 + $AR5*'Cancel Curves'!$Q$12 + $AS5*'Cancel Curves'!$P$12 + $AT5*'Cancel Curves'!$O$12 + $AU5*'Cancel Curves'!$N$12 + $AV5*'Cancel Curves'!$M$12 + $AW5*'Cancel Curves'!$L$12 + $AX5*'Cancel Curves'!$K$12 + $AY5*'Cancel Curves'!$J$12 + $AZ5*'Cancel Curves'!$I$12 + $BA5*'Cancel Curves'!$H$12 + $BB5*'Cancel Curves'!$G$12 + $BC5*'Cancel Curves'!$F$12 + $BD5*'Cancel Curves'!$E$12 + $BE5*'Cancel Curves'!$D$12 + $BF5*'Cancel Curves'!$C$12 + $BG5*'Cancel Curves'!$B$12</f>
        <v/>
      </c>
      <c r="BH6" s="26">
        <f>$AE5*'Cancel Curves'!$AE$12 + $AF5*'Cancel Curves'!$AD$12 + $AG5*'Cancel Curves'!$AC$12 + $AH5*'Cancel Curves'!$AB$12 + $AI5*'Cancel Curves'!$AA$12 + $AJ5*'Cancel Curves'!$Z$12 + $AK5*'Cancel Curves'!$Y$12 + $AL5*'Cancel Curves'!$X$12 + $AM5*'Cancel Curves'!$W$12 + $AN5*'Cancel Curves'!$V$12 + $AO5*'Cancel Curves'!$U$12 + $AP5*'Cancel Curves'!$T$12 + $AQ5*'Cancel Curves'!$S$12 + $AR5*'Cancel Curves'!$R$12 + $AS5*'Cancel Curves'!$Q$12 + $AT5*'Cancel Curves'!$P$12 + $AU5*'Cancel Curves'!$O$12 + $AV5*'Cancel Curves'!$N$12 + $AW5*'Cancel Curves'!$M$12 + $AX5*'Cancel Curves'!$L$12 + $AY5*'Cancel Curves'!$K$12 + $AZ5*'Cancel Curves'!$J$12 + $BA5*'Cancel Curves'!$I$12 + $BB5*'Cancel Curves'!$H$12 + $BC5*'Cancel Curves'!$G$12 + $BD5*'Cancel Curves'!$F$12 + $BE5*'Cancel Curves'!$E$12 + $BF5*'Cancel Curves'!$D$12 + $BG5*'Cancel Curves'!$C$12 + $BH5*'Cancel Curves'!$B$12</f>
        <v/>
      </c>
      <c r="BI6" s="26">
        <f>$AF5*'Cancel Curves'!$AE$12 + $AG5*'Cancel Curves'!$AD$12 + $AH5*'Cancel Curves'!$AC$12 + $AI5*'Cancel Curves'!$AB$12 + $AJ5*'Cancel Curves'!$AA$12 + $AK5*'Cancel Curves'!$Z$12 + $AL5*'Cancel Curves'!$Y$12 + $AM5*'Cancel Curves'!$X$12 + $AN5*'Cancel Curves'!$W$12 + $AO5*'Cancel Curves'!$V$12 + $AP5*'Cancel Curves'!$U$12 + $AQ5*'Cancel Curves'!$T$12 + $AR5*'Cancel Curves'!$S$12 + $AS5*'Cancel Curves'!$R$12 + $AT5*'Cancel Curves'!$Q$12 + $AU5*'Cancel Curves'!$P$12 + $AV5*'Cancel Curves'!$O$12 + $AW5*'Cancel Curves'!$N$12 + $AX5*'Cancel Curves'!$M$12 + $AY5*'Cancel Curves'!$L$12 + $AZ5*'Cancel Curves'!$K$12 + $BA5*'Cancel Curves'!$J$12 + $BB5*'Cancel Curves'!$I$12 + $BC5*'Cancel Curves'!$H$12 + $BD5*'Cancel Curves'!$G$12 + $BE5*'Cancel Curves'!$F$12 + $BF5*'Cancel Curves'!$E$12 + $BG5*'Cancel Curves'!$D$12 + $BH5*'Cancel Curves'!$C$12 + $BI5*'Cancel Curves'!$B$12</f>
        <v/>
      </c>
      <c r="BJ6" s="26">
        <f>$AG5*'Cancel Curves'!$AE$12 + $AH5*'Cancel Curves'!$AD$12 + $AI5*'Cancel Curves'!$AC$12 + $AJ5*'Cancel Curves'!$AB$12 + $AK5*'Cancel Curves'!$AA$12 + $AL5*'Cancel Curves'!$Z$12 + $AM5*'Cancel Curves'!$Y$12 + $AN5*'Cancel Curves'!$X$12 + $AO5*'Cancel Curves'!$W$12 + $AP5*'Cancel Curves'!$V$12 + $AQ5*'Cancel Curves'!$U$12 + $AR5*'Cancel Curves'!$T$12 + $AS5*'Cancel Curves'!$S$12 + $AT5*'Cancel Curves'!$R$12 + $AU5*'Cancel Curves'!$Q$12 + $AV5*'Cancel Curves'!$P$12 + $AW5*'Cancel Curves'!$O$12 + $AX5*'Cancel Curves'!$N$12 + $AY5*'Cancel Curves'!$M$12 + $AZ5*'Cancel Curves'!$L$12 + $BA5*'Cancel Curves'!$K$12 + $BB5*'Cancel Curves'!$J$12 + $BC5*'Cancel Curves'!$I$12 + $BD5*'Cancel Curves'!$H$12 + $BE5*'Cancel Curves'!$G$12 + $BF5*'Cancel Curves'!$F$12 + $BG5*'Cancel Curves'!$E$12 + $BH5*'Cancel Curves'!$D$12 + $BI5*'Cancel Curves'!$C$12 + $BJ5*'Cancel Curves'!$B$12</f>
        <v/>
      </c>
      <c r="BK6" s="26">
        <f>$AH5*'Cancel Curves'!$AE$12 + $AI5*'Cancel Curves'!$AD$12 + $AJ5*'Cancel Curves'!$AC$12 + $AK5*'Cancel Curves'!$AB$12 + $AL5*'Cancel Curves'!$AA$12 + $AM5*'Cancel Curves'!$Z$12 + $AN5*'Cancel Curves'!$Y$12 + $AO5*'Cancel Curves'!$X$12 + $AP5*'Cancel Curves'!$W$12 + $AQ5*'Cancel Curves'!$V$12 + $AR5*'Cancel Curves'!$U$12 + $AS5*'Cancel Curves'!$T$12 + $AT5*'Cancel Curves'!$S$12 + $AU5*'Cancel Curves'!$R$12 + $AV5*'Cancel Curves'!$Q$12 + $AW5*'Cancel Curves'!$P$12 + $AX5*'Cancel Curves'!$O$12 + $AY5*'Cancel Curves'!$N$12 + $AZ5*'Cancel Curves'!$M$12 + $BA5*'Cancel Curves'!$L$12 + $BB5*'Cancel Curves'!$K$12 + $BC5*'Cancel Curves'!$J$12 + $BD5*'Cancel Curves'!$I$12 + $BE5*'Cancel Curves'!$H$12 + $BF5*'Cancel Curves'!$G$12 + $BG5*'Cancel Curves'!$F$12 + $BH5*'Cancel Curves'!$E$12 + $BI5*'Cancel Curves'!$D$12 + $BJ5*'Cancel Curves'!$C$12 + $BK5*'Cancel Curves'!$B$12</f>
        <v/>
      </c>
      <c r="BL6" s="26">
        <f>$AI5*'Cancel Curves'!$AE$12 + $AJ5*'Cancel Curves'!$AD$12 + $AK5*'Cancel Curves'!$AC$12 + $AL5*'Cancel Curves'!$AB$12 + $AM5*'Cancel Curves'!$AA$12 + $AN5*'Cancel Curves'!$Z$12 + $AO5*'Cancel Curves'!$Y$12 + $AP5*'Cancel Curves'!$X$12 + $AQ5*'Cancel Curves'!$W$12 + $AR5*'Cancel Curves'!$V$12 + $AS5*'Cancel Curves'!$U$12 + $AT5*'Cancel Curves'!$T$12 + $AU5*'Cancel Curves'!$S$12 + $AV5*'Cancel Curves'!$R$12 + $AW5*'Cancel Curves'!$Q$12 + $AX5*'Cancel Curves'!$P$12 + $AY5*'Cancel Curves'!$O$12 + $AZ5*'Cancel Curves'!$N$12 + $BA5*'Cancel Curves'!$M$12 + $BB5*'Cancel Curves'!$L$12 + $BC5*'Cancel Curves'!$K$12 + $BD5*'Cancel Curves'!$J$12 + $BE5*'Cancel Curves'!$I$12 + $BF5*'Cancel Curves'!$H$12 + $BG5*'Cancel Curves'!$G$12 + $BH5*'Cancel Curves'!$F$12 + $BI5*'Cancel Curves'!$E$12 + $BJ5*'Cancel Curves'!$D$12 + $BK5*'Cancel Curves'!$C$12 + $BL5*'Cancel Curves'!$B$12</f>
        <v/>
      </c>
      <c r="BM6" s="26">
        <f>$AJ5*'Cancel Curves'!$AE$12 + $AK5*'Cancel Curves'!$AD$12 + $AL5*'Cancel Curves'!$AC$12 + $AM5*'Cancel Curves'!$AB$12 + $AN5*'Cancel Curves'!$AA$12 + $AO5*'Cancel Curves'!$Z$12 + $AP5*'Cancel Curves'!$Y$12 + $AQ5*'Cancel Curves'!$X$12 + $AR5*'Cancel Curves'!$W$12 + $AS5*'Cancel Curves'!$V$12 + $AT5*'Cancel Curves'!$U$12 + $AU5*'Cancel Curves'!$T$12 + $AV5*'Cancel Curves'!$S$12 + $AW5*'Cancel Curves'!$R$12 + $AX5*'Cancel Curves'!$Q$12 + $AY5*'Cancel Curves'!$P$12 + $AZ5*'Cancel Curves'!$O$12 + $BA5*'Cancel Curves'!$N$12 + $BB5*'Cancel Curves'!$M$12 + $BC5*'Cancel Curves'!$L$12 + $BD5*'Cancel Curves'!$K$12 + $BE5*'Cancel Curves'!$J$12 + $BF5*'Cancel Curves'!$I$12 + $BG5*'Cancel Curves'!$H$12 + $BH5*'Cancel Curves'!$G$12 + $BI5*'Cancel Curves'!$F$12 + $BJ5*'Cancel Curves'!$E$12 + $BK5*'Cancel Curves'!$D$12 + $BL5*'Cancel Curves'!$C$12 + $BM5*'Cancel Curves'!$B$12</f>
        <v/>
      </c>
      <c r="BN6" s="26">
        <f>$AK5*'Cancel Curves'!$AE$12 + $AL5*'Cancel Curves'!$AD$12 + $AM5*'Cancel Curves'!$AC$12 + $AN5*'Cancel Curves'!$AB$12 + $AO5*'Cancel Curves'!$AA$12 + $AP5*'Cancel Curves'!$Z$12 + $AQ5*'Cancel Curves'!$Y$12 + $AR5*'Cancel Curves'!$X$12 + $AS5*'Cancel Curves'!$W$12 + $AT5*'Cancel Curves'!$V$12 + $AU5*'Cancel Curves'!$U$12 + $AV5*'Cancel Curves'!$T$12 + $AW5*'Cancel Curves'!$S$12 + $AX5*'Cancel Curves'!$R$12 + $AY5*'Cancel Curves'!$Q$12 + $AZ5*'Cancel Curves'!$P$12 + $BA5*'Cancel Curves'!$O$12 + $BB5*'Cancel Curves'!$N$12 + $BC5*'Cancel Curves'!$M$12 + $BD5*'Cancel Curves'!$L$12 + $BE5*'Cancel Curves'!$K$12 + $BF5*'Cancel Curves'!$J$12 + $BG5*'Cancel Curves'!$I$12 + $BH5*'Cancel Curves'!$H$12 + $BI5*'Cancel Curves'!$G$12 + $BJ5*'Cancel Curves'!$F$12 + $BK5*'Cancel Curves'!$E$12 + $BL5*'Cancel Curves'!$D$12 + $BM5*'Cancel Curves'!$C$12 + $BN5*'Cancel Curves'!$B$12</f>
        <v/>
      </c>
      <c r="BO6" s="26">
        <f>$AL5*'Cancel Curves'!$AE$12 + $AM5*'Cancel Curves'!$AD$12 + $AN5*'Cancel Curves'!$AC$12 + $AO5*'Cancel Curves'!$AB$12 + $AP5*'Cancel Curves'!$AA$12 + $AQ5*'Cancel Curves'!$Z$12 + $AR5*'Cancel Curves'!$Y$12 + $AS5*'Cancel Curves'!$X$12 + $AT5*'Cancel Curves'!$W$12 + $AU5*'Cancel Curves'!$V$12 + $AV5*'Cancel Curves'!$U$12 + $AW5*'Cancel Curves'!$T$12 + $AX5*'Cancel Curves'!$S$12 + $AY5*'Cancel Curves'!$R$12 + $AZ5*'Cancel Curves'!$Q$12 + $BA5*'Cancel Curves'!$P$12 + $BB5*'Cancel Curves'!$O$12 + $BC5*'Cancel Curves'!$N$12 + $BD5*'Cancel Curves'!$M$12 + $BE5*'Cancel Curves'!$L$12 + $BF5*'Cancel Curves'!$K$12 + $BG5*'Cancel Curves'!$J$12 + $BH5*'Cancel Curves'!$I$12 + $BI5*'Cancel Curves'!$H$12 + $BJ5*'Cancel Curves'!$G$12 + $BK5*'Cancel Curves'!$F$12 + $BL5*'Cancel Curves'!$E$12 + $BM5*'Cancel Curves'!$D$12 + $BN5*'Cancel Curves'!$C$12 + $BO5*'Cancel Curves'!$B$12</f>
        <v/>
      </c>
      <c r="BP6" s="26">
        <f>$AM5*'Cancel Curves'!$AE$12 + $AN5*'Cancel Curves'!$AD$12 + $AO5*'Cancel Curves'!$AC$12 + $AP5*'Cancel Curves'!$AB$12 + $AQ5*'Cancel Curves'!$AA$12 + $AR5*'Cancel Curves'!$Z$12 + $AS5*'Cancel Curves'!$Y$12 + $AT5*'Cancel Curves'!$X$12 + $AU5*'Cancel Curves'!$W$12 + $AV5*'Cancel Curves'!$V$12 + $AW5*'Cancel Curves'!$U$12 + $AX5*'Cancel Curves'!$T$12 + $AY5*'Cancel Curves'!$S$12 + $AZ5*'Cancel Curves'!$R$12 + $BA5*'Cancel Curves'!$Q$12 + $BB5*'Cancel Curves'!$P$12 + $BC5*'Cancel Curves'!$O$12 + $BD5*'Cancel Curves'!$N$12 + $BE5*'Cancel Curves'!$M$12 + $BF5*'Cancel Curves'!$L$12 + $BG5*'Cancel Curves'!$K$12 + $BH5*'Cancel Curves'!$J$12 + $BI5*'Cancel Curves'!$I$12 + $BJ5*'Cancel Curves'!$H$12 + $BK5*'Cancel Curves'!$G$12 + $BL5*'Cancel Curves'!$F$12 + $BM5*'Cancel Curves'!$E$12 + $BN5*'Cancel Curves'!$D$12 + $BO5*'Cancel Curves'!$C$12 + $BP5*'Cancel Curves'!$B$12</f>
        <v/>
      </c>
      <c r="BQ6" s="26">
        <f>$AN5*'Cancel Curves'!$AE$12 + $AO5*'Cancel Curves'!$AD$12 + $AP5*'Cancel Curves'!$AC$12 + $AQ5*'Cancel Curves'!$AB$12 + $AR5*'Cancel Curves'!$AA$12 + $AS5*'Cancel Curves'!$Z$12 + $AT5*'Cancel Curves'!$Y$12 + $AU5*'Cancel Curves'!$X$12 + $AV5*'Cancel Curves'!$W$12 + $AW5*'Cancel Curves'!$V$12 + $AX5*'Cancel Curves'!$U$12 + $AY5*'Cancel Curves'!$T$12 + $AZ5*'Cancel Curves'!$S$12 + $BA5*'Cancel Curves'!$R$12 + $BB5*'Cancel Curves'!$Q$12 + $BC5*'Cancel Curves'!$P$12 + $BD5*'Cancel Curves'!$O$12 + $BE5*'Cancel Curves'!$N$12 + $BF5*'Cancel Curves'!$M$12 + $BG5*'Cancel Curves'!$L$12 + $BH5*'Cancel Curves'!$K$12 + $BI5*'Cancel Curves'!$J$12 + $BJ5*'Cancel Curves'!$I$12 + $BK5*'Cancel Curves'!$H$12 + $BL5*'Cancel Curves'!$G$12 + $BM5*'Cancel Curves'!$F$12 + $BN5*'Cancel Curves'!$E$12 + $BO5*'Cancel Curves'!$D$12 + $BP5*'Cancel Curves'!$C$12 + $BQ5*'Cancel Curves'!$B$12</f>
        <v/>
      </c>
      <c r="BR6" s="26">
        <f>$AO5*'Cancel Curves'!$AE$12 + $AP5*'Cancel Curves'!$AD$12 + $AQ5*'Cancel Curves'!$AC$12 + $AR5*'Cancel Curves'!$AB$12 + $AS5*'Cancel Curves'!$AA$12 + $AT5*'Cancel Curves'!$Z$12 + $AU5*'Cancel Curves'!$Y$12 + $AV5*'Cancel Curves'!$X$12 + $AW5*'Cancel Curves'!$W$12 + $AX5*'Cancel Curves'!$V$12 + $AY5*'Cancel Curves'!$U$12 + $AZ5*'Cancel Curves'!$T$12 + $BA5*'Cancel Curves'!$S$12 + $BB5*'Cancel Curves'!$R$12 + $BC5*'Cancel Curves'!$Q$12 + $BD5*'Cancel Curves'!$P$12 + $BE5*'Cancel Curves'!$O$12 + $BF5*'Cancel Curves'!$N$12 + $BG5*'Cancel Curves'!$M$12 + $BH5*'Cancel Curves'!$L$12 + $BI5*'Cancel Curves'!$K$12 + $BJ5*'Cancel Curves'!$J$12 + $BK5*'Cancel Curves'!$I$12 + $BL5*'Cancel Curves'!$H$12 + $BM5*'Cancel Curves'!$G$12 + $BN5*'Cancel Curves'!$F$12 + $BO5*'Cancel Curves'!$E$12 + $BP5*'Cancel Curves'!$D$12 + $BQ5*'Cancel Curves'!$C$12 + $BR5*'Cancel Curves'!$B$12</f>
        <v/>
      </c>
      <c r="BS6" s="26">
        <f>$AP5*'Cancel Curves'!$AE$12 + $AQ5*'Cancel Curves'!$AD$12 + $AR5*'Cancel Curves'!$AC$12 + $AS5*'Cancel Curves'!$AB$12 + $AT5*'Cancel Curves'!$AA$12 + $AU5*'Cancel Curves'!$Z$12 + $AV5*'Cancel Curves'!$Y$12 + $AW5*'Cancel Curves'!$X$12 + $AX5*'Cancel Curves'!$W$12 + $AY5*'Cancel Curves'!$V$12 + $AZ5*'Cancel Curves'!$U$12 + $BA5*'Cancel Curves'!$T$12 + $BB5*'Cancel Curves'!$S$12 + $BC5*'Cancel Curves'!$R$12 + $BD5*'Cancel Curves'!$Q$12 + $BE5*'Cancel Curves'!$P$12 + $BF5*'Cancel Curves'!$O$12 + $BG5*'Cancel Curves'!$N$12 + $BH5*'Cancel Curves'!$M$12 + $BI5*'Cancel Curves'!$L$12 + $BJ5*'Cancel Curves'!$K$12 + $BK5*'Cancel Curves'!$J$12 + $BL5*'Cancel Curves'!$I$12 + $BM5*'Cancel Curves'!$H$12 + $BN5*'Cancel Curves'!$G$12 + $BO5*'Cancel Curves'!$F$12 + $BP5*'Cancel Curves'!$E$12 + $BQ5*'Cancel Curves'!$D$12 + $BR5*'Cancel Curves'!$C$12 + $BS5*'Cancel Curves'!$B$12</f>
        <v/>
      </c>
      <c r="BT6" s="26">
        <f>$AQ5*'Cancel Curves'!$AE$12 + $AR5*'Cancel Curves'!$AD$12 + $AS5*'Cancel Curves'!$AC$12 + $AT5*'Cancel Curves'!$AB$12 + $AU5*'Cancel Curves'!$AA$12 + $AV5*'Cancel Curves'!$Z$12 + $AW5*'Cancel Curves'!$Y$12 + $AX5*'Cancel Curves'!$X$12 + $AY5*'Cancel Curves'!$W$12 + $AZ5*'Cancel Curves'!$V$12 + $BA5*'Cancel Curves'!$U$12 + $BB5*'Cancel Curves'!$T$12 + $BC5*'Cancel Curves'!$S$12 + $BD5*'Cancel Curves'!$R$12 + $BE5*'Cancel Curves'!$Q$12 + $BF5*'Cancel Curves'!$P$12 + $BG5*'Cancel Curves'!$O$12 + $BH5*'Cancel Curves'!$N$12 + $BI5*'Cancel Curves'!$M$12 + $BJ5*'Cancel Curves'!$L$12 + $BK5*'Cancel Curves'!$K$12 + $BL5*'Cancel Curves'!$J$12 + $BM5*'Cancel Curves'!$I$12 + $BN5*'Cancel Curves'!$H$12 + $BO5*'Cancel Curves'!$G$12 + $BP5*'Cancel Curves'!$F$12 + $BQ5*'Cancel Curves'!$E$12 + $BR5*'Cancel Curves'!$D$12 + $BS5*'Cancel Curves'!$C$12 + $BT5*'Cancel Curves'!$B$12</f>
        <v/>
      </c>
      <c r="BU6" s="26">
        <f>$AR5*'Cancel Curves'!$AE$12 + $AS5*'Cancel Curves'!$AD$12 + $AT5*'Cancel Curves'!$AC$12 + $AU5*'Cancel Curves'!$AB$12 + $AV5*'Cancel Curves'!$AA$12 + $AW5*'Cancel Curves'!$Z$12 + $AX5*'Cancel Curves'!$Y$12 + $AY5*'Cancel Curves'!$X$12 + $AZ5*'Cancel Curves'!$W$12 + $BA5*'Cancel Curves'!$V$12 + $BB5*'Cancel Curves'!$U$12 + $BC5*'Cancel Curves'!$T$12 + $BD5*'Cancel Curves'!$S$12 + $BE5*'Cancel Curves'!$R$12 + $BF5*'Cancel Curves'!$Q$12 + $BG5*'Cancel Curves'!$P$12 + $BH5*'Cancel Curves'!$O$12 + $BI5*'Cancel Curves'!$N$12 + $BJ5*'Cancel Curves'!$M$12 + $BK5*'Cancel Curves'!$L$12 + $BL5*'Cancel Curves'!$K$12 + $BM5*'Cancel Curves'!$J$12 + $BN5*'Cancel Curves'!$I$12 + $BO5*'Cancel Curves'!$H$12 + $BP5*'Cancel Curves'!$G$12 + $BQ5*'Cancel Curves'!$F$12 + $BR5*'Cancel Curves'!$E$12 + $BS5*'Cancel Curves'!$D$12 + $BT5*'Cancel Curves'!$C$12 + $BU5*'Cancel Curves'!$B$12</f>
        <v/>
      </c>
      <c r="BV6" s="26">
        <f>$AS5*'Cancel Curves'!$AE$12 + $AT5*'Cancel Curves'!$AD$12 + $AU5*'Cancel Curves'!$AC$12 + $AV5*'Cancel Curves'!$AB$12 + $AW5*'Cancel Curves'!$AA$12 + $AX5*'Cancel Curves'!$Z$12 + $AY5*'Cancel Curves'!$Y$12 + $AZ5*'Cancel Curves'!$X$12 + $BA5*'Cancel Curves'!$W$12 + $BB5*'Cancel Curves'!$V$12 + $BC5*'Cancel Curves'!$U$12 + $BD5*'Cancel Curves'!$T$12 + $BE5*'Cancel Curves'!$S$12 + $BF5*'Cancel Curves'!$R$12 + $BG5*'Cancel Curves'!$Q$12 + $BH5*'Cancel Curves'!$P$12 + $BI5*'Cancel Curves'!$O$12 + $BJ5*'Cancel Curves'!$N$12 + $BK5*'Cancel Curves'!$M$12 + $BL5*'Cancel Curves'!$L$12 + $BM5*'Cancel Curves'!$K$12 + $BN5*'Cancel Curves'!$J$12 + $BO5*'Cancel Curves'!$I$12 + $BP5*'Cancel Curves'!$H$12 + $BQ5*'Cancel Curves'!$G$12 + $BR5*'Cancel Curves'!$F$12 + $BS5*'Cancel Curves'!$E$12 + $BT5*'Cancel Curves'!$D$12 + $BU5*'Cancel Curves'!$C$12 + $BV5*'Cancel Curves'!$B$12</f>
        <v/>
      </c>
      <c r="BW6" s="26">
        <f>$AT5*'Cancel Curves'!$AE$12 + $AU5*'Cancel Curves'!$AD$12 + $AV5*'Cancel Curves'!$AC$12 + $AW5*'Cancel Curves'!$AB$12 + $AX5*'Cancel Curves'!$AA$12 + $AY5*'Cancel Curves'!$Z$12 + $AZ5*'Cancel Curves'!$Y$12 + $BA5*'Cancel Curves'!$X$12 + $BB5*'Cancel Curves'!$W$12 + $BC5*'Cancel Curves'!$V$12 + $BD5*'Cancel Curves'!$U$12 + $BE5*'Cancel Curves'!$T$12 + $BF5*'Cancel Curves'!$S$12 + $BG5*'Cancel Curves'!$R$12 + $BH5*'Cancel Curves'!$Q$12 + $BI5*'Cancel Curves'!$P$12 + $BJ5*'Cancel Curves'!$O$12 + $BK5*'Cancel Curves'!$N$12 + $BL5*'Cancel Curves'!$M$12 + $BM5*'Cancel Curves'!$L$12 + $BN5*'Cancel Curves'!$K$12 + $BO5*'Cancel Curves'!$J$12 + $BP5*'Cancel Curves'!$I$12 + $BQ5*'Cancel Curves'!$H$12 + $BR5*'Cancel Curves'!$G$12 + $BS5*'Cancel Curves'!$F$12 + $BT5*'Cancel Curves'!$E$12 + $BU5*'Cancel Curves'!$D$12 + $BV5*'Cancel Curves'!$C$12 + $BW5*'Cancel Curves'!$B$12</f>
        <v/>
      </c>
    </row>
    <row r="7">
      <c r="A7" s="1" t="inlineStr">
        <is>
          <t>Active contracts (start of period)</t>
        </is>
      </c>
      <c r="C7" s="15" t="n">
        <v>0</v>
      </c>
    </row>
    <row r="8">
      <c r="A8" s="1" t="inlineStr">
        <is>
          <t>Cancels (period)</t>
        </is>
      </c>
      <c r="D8" s="26">
        <f>C6+D5-D6</f>
        <v/>
      </c>
      <c r="E8" s="26">
        <f>D6+E5-E6</f>
        <v/>
      </c>
      <c r="F8" s="26">
        <f>E6+F5-F6</f>
        <v/>
      </c>
      <c r="G8" s="26">
        <f>F6+G5-G6</f>
        <v/>
      </c>
      <c r="H8" s="26">
        <f>G6+H5-H6</f>
        <v/>
      </c>
      <c r="I8" s="26">
        <f>H6+I5-I6</f>
        <v/>
      </c>
      <c r="J8" s="26">
        <f>I6+J5-J6</f>
        <v/>
      </c>
      <c r="K8" s="26">
        <f>J6+K5-K6</f>
        <v/>
      </c>
      <c r="L8" s="26">
        <f>K6+L5-L6</f>
        <v/>
      </c>
      <c r="M8" s="26">
        <f>L6+M5-M6</f>
        <v/>
      </c>
      <c r="N8" s="26">
        <f>M6+N5-N6</f>
        <v/>
      </c>
      <c r="O8" s="26">
        <f>N6+O5-O6</f>
        <v/>
      </c>
      <c r="P8" s="26">
        <f>O6+P5-P6</f>
        <v/>
      </c>
      <c r="Q8" s="26">
        <f>P6+Q5-Q6</f>
        <v/>
      </c>
      <c r="R8" s="26">
        <f>Q6+R5-R6</f>
        <v/>
      </c>
      <c r="S8" s="26">
        <f>R6+S5-S6</f>
        <v/>
      </c>
      <c r="T8" s="26">
        <f>S6+T5-T6</f>
        <v/>
      </c>
      <c r="U8" s="26">
        <f>T6+U5-U6</f>
        <v/>
      </c>
      <c r="V8" s="26">
        <f>U6+V5-V6</f>
        <v/>
      </c>
      <c r="W8" s="26">
        <f>V6+W5-W6</f>
        <v/>
      </c>
      <c r="X8" s="26">
        <f>W6+X5-X6</f>
        <v/>
      </c>
      <c r="Y8" s="26">
        <f>X6+Y5-Y6</f>
        <v/>
      </c>
      <c r="Z8" s="26">
        <f>Y6+Z5-Z6</f>
        <v/>
      </c>
      <c r="AA8" s="26">
        <f>Z6+AA5-AA6</f>
        <v/>
      </c>
      <c r="AB8" s="26">
        <f>AA6+AB5-AB6</f>
        <v/>
      </c>
      <c r="AC8" s="26">
        <f>AB6+AC5-AC6</f>
        <v/>
      </c>
      <c r="AD8" s="26">
        <f>AC6+AD5-AD6</f>
        <v/>
      </c>
      <c r="AE8" s="26">
        <f>AD6+AE5-AE6</f>
        <v/>
      </c>
      <c r="AF8" s="26">
        <f>AE6+AF5-AF6</f>
        <v/>
      </c>
      <c r="AG8" s="26">
        <f>AF6+AG5-AG6</f>
        <v/>
      </c>
      <c r="AH8" s="26">
        <f>AG6+AH5-AH6</f>
        <v/>
      </c>
      <c r="AI8" s="26">
        <f>AH6+AI5-AI6</f>
        <v/>
      </c>
      <c r="AJ8" s="26">
        <f>AI6+AJ5-AJ6</f>
        <v/>
      </c>
      <c r="AK8" s="26">
        <f>AJ6+AK5-AK6</f>
        <v/>
      </c>
      <c r="AL8" s="26">
        <f>AK6+AL5-AL6</f>
        <v/>
      </c>
      <c r="AM8" s="26">
        <f>AL6+AM5-AM6</f>
        <v/>
      </c>
      <c r="AN8" s="26">
        <f>AM6+AN5-AN6</f>
        <v/>
      </c>
      <c r="AO8" s="26">
        <f>AN6+AO5-AO6</f>
        <v/>
      </c>
      <c r="AP8" s="26">
        <f>AO6+AP5-AP6</f>
        <v/>
      </c>
      <c r="AQ8" s="26">
        <f>AP6+AQ5-AQ6</f>
        <v/>
      </c>
      <c r="AR8" s="26">
        <f>AQ6+AR5-AR6</f>
        <v/>
      </c>
      <c r="AS8" s="26">
        <f>AR6+AS5-AS6</f>
        <v/>
      </c>
      <c r="AT8" s="26">
        <f>AS6+AT5-AT6</f>
        <v/>
      </c>
      <c r="AU8" s="26">
        <f>AT6+AU5-AU6</f>
        <v/>
      </c>
      <c r="AV8" s="26">
        <f>AU6+AV5-AV6</f>
        <v/>
      </c>
      <c r="AW8" s="26">
        <f>AV6+AW5-AW6</f>
        <v/>
      </c>
      <c r="AX8" s="26">
        <f>AW6+AX5-AX6</f>
        <v/>
      </c>
      <c r="AY8" s="26">
        <f>AX6+AY5-AY6</f>
        <v/>
      </c>
      <c r="AZ8" s="26">
        <f>AY6+AZ5-AZ6</f>
        <v/>
      </c>
      <c r="BA8" s="26">
        <f>AZ6+BA5-BA6</f>
        <v/>
      </c>
      <c r="BB8" s="26">
        <f>BA6+BB5-BB6</f>
        <v/>
      </c>
      <c r="BC8" s="26">
        <f>BB6+BC5-BC6</f>
        <v/>
      </c>
      <c r="BD8" s="26">
        <f>BC6+BD5-BD6</f>
        <v/>
      </c>
      <c r="BE8" s="26">
        <f>BD6+BE5-BE6</f>
        <v/>
      </c>
      <c r="BF8" s="26">
        <f>BE6+BF5-BF6</f>
        <v/>
      </c>
      <c r="BG8" s="26">
        <f>BF6+BG5-BG6</f>
        <v/>
      </c>
      <c r="BH8" s="26">
        <f>BG6+BH5-BH6</f>
        <v/>
      </c>
      <c r="BI8" s="26">
        <f>BH6+BI5-BI6</f>
        <v/>
      </c>
      <c r="BJ8" s="26">
        <f>BI6+BJ5-BJ6</f>
        <v/>
      </c>
      <c r="BK8" s="26">
        <f>BJ6+BK5-BK6</f>
        <v/>
      </c>
      <c r="BL8" s="26">
        <f>BK6+BL5-BL6</f>
        <v/>
      </c>
      <c r="BM8" s="26">
        <f>BL6+BM5-BM6</f>
        <v/>
      </c>
      <c r="BN8" s="26">
        <f>BM6+BN5-BN6</f>
        <v/>
      </c>
      <c r="BO8" s="26">
        <f>BN6+BO5-BO6</f>
        <v/>
      </c>
      <c r="BP8" s="26">
        <f>BO6+BP5-BP6</f>
        <v/>
      </c>
      <c r="BQ8" s="26">
        <f>BP6+BQ5-BQ6</f>
        <v/>
      </c>
      <c r="BR8" s="26">
        <f>BQ6+BR5-BR6</f>
        <v/>
      </c>
      <c r="BS8" s="26">
        <f>BR6+BS5-BS6</f>
        <v/>
      </c>
      <c r="BT8" s="26">
        <f>BS6+BT5-BT6</f>
        <v/>
      </c>
      <c r="BU8" s="26">
        <f>BT6+BU5-BU6</f>
        <v/>
      </c>
      <c r="BV8" s="26">
        <f>BU6+BV5-BV6</f>
        <v/>
      </c>
      <c r="BW8" s="26">
        <f>BV6+BW5-BW6</f>
        <v/>
      </c>
    </row>
    <row r="10">
      <c r="A10" s="97" t="inlineStr">
        <is>
          <t>REVENUE</t>
        </is>
      </c>
    </row>
    <row r="11">
      <c r="A11" s="1" t="inlineStr">
        <is>
          <t>Monthly contract value (active × CPS)</t>
        </is>
      </c>
    </row>
    <row r="12">
      <c r="A12" t="inlineStr">
        <is>
          <t xml:space="preserve">  CPS (customer payment per service)</t>
        </is>
      </c>
      <c r="D12" s="27">
        <f>Assumptions!$B$17*(1+Assumptions!$B$9)^0</f>
        <v/>
      </c>
      <c r="E12" s="27">
        <f>Assumptions!$B$17*(1+Assumptions!$B$9)^0</f>
        <v/>
      </c>
      <c r="F12" s="27">
        <f>Assumptions!$B$17*(1+Assumptions!$B$9)^0</f>
        <v/>
      </c>
      <c r="G12" s="27">
        <f>Assumptions!$B$17*(1+Assumptions!$B$9)^0</f>
        <v/>
      </c>
      <c r="H12" s="27">
        <f>Assumptions!$B$17*(1+Assumptions!$B$9)^0</f>
        <v/>
      </c>
      <c r="I12" s="27">
        <f>Assumptions!$B$17*(1+Assumptions!$B$9)^0</f>
        <v/>
      </c>
      <c r="J12" s="27">
        <f>Assumptions!$B$17*(1+Assumptions!$B$9)^0</f>
        <v/>
      </c>
      <c r="K12" s="27">
        <f>Assumptions!$B$17*(1+Assumptions!$B$9)^0</f>
        <v/>
      </c>
      <c r="L12" s="27">
        <f>Assumptions!$B$17*(1+Assumptions!$B$9)^0</f>
        <v/>
      </c>
      <c r="M12" s="27">
        <f>Assumptions!$B$17*(1+Assumptions!$B$9)^0</f>
        <v/>
      </c>
      <c r="N12" s="27">
        <f>Assumptions!$B$17*(1+Assumptions!$B$9)^0</f>
        <v/>
      </c>
      <c r="O12" s="27">
        <f>Assumptions!$B$17*(1+Assumptions!$B$9)^0</f>
        <v/>
      </c>
      <c r="P12" s="27">
        <f>Assumptions!$B$17*(1+Assumptions!$B$9)^1</f>
        <v/>
      </c>
      <c r="Q12" s="27">
        <f>Assumptions!$B$17*(1+Assumptions!$B$9)^1</f>
        <v/>
      </c>
      <c r="R12" s="27">
        <f>Assumptions!$B$17*(1+Assumptions!$B$9)^1</f>
        <v/>
      </c>
      <c r="S12" s="27">
        <f>Assumptions!$B$17*(1+Assumptions!$B$9)^1</f>
        <v/>
      </c>
      <c r="T12" s="27">
        <f>Assumptions!$B$17*(1+Assumptions!$B$9)^1</f>
        <v/>
      </c>
      <c r="U12" s="27">
        <f>Assumptions!$B$17*(1+Assumptions!$B$9)^1</f>
        <v/>
      </c>
      <c r="V12" s="27">
        <f>Assumptions!$B$17*(1+Assumptions!$B$9)^1</f>
        <v/>
      </c>
      <c r="W12" s="27">
        <f>Assumptions!$B$17*(1+Assumptions!$B$9)^1</f>
        <v/>
      </c>
      <c r="X12" s="27">
        <f>Assumptions!$B$17*(1+Assumptions!$B$9)^1</f>
        <v/>
      </c>
      <c r="Y12" s="27">
        <f>Assumptions!$B$17*(1+Assumptions!$B$9)^1</f>
        <v/>
      </c>
      <c r="Z12" s="27">
        <f>Assumptions!$B$17*(1+Assumptions!$B$9)^1</f>
        <v/>
      </c>
      <c r="AA12" s="27">
        <f>Assumptions!$B$17*(1+Assumptions!$B$9)^1</f>
        <v/>
      </c>
      <c r="AB12" s="27">
        <f>Assumptions!$B$17*(1+Assumptions!$B$9)^2</f>
        <v/>
      </c>
      <c r="AC12" s="27">
        <f>Assumptions!$B$17*(1+Assumptions!$B$9)^2</f>
        <v/>
      </c>
      <c r="AD12" s="27">
        <f>Assumptions!$B$17*(1+Assumptions!$B$9)^2</f>
        <v/>
      </c>
      <c r="AE12" s="27">
        <f>Assumptions!$B$17*(1+Assumptions!$B$9)^2</f>
        <v/>
      </c>
      <c r="AF12" s="27">
        <f>Assumptions!$B$17*(1+Assumptions!$B$9)^2</f>
        <v/>
      </c>
      <c r="AG12" s="27">
        <f>Assumptions!$B$17*(1+Assumptions!$B$9)^2</f>
        <v/>
      </c>
      <c r="AH12" s="27">
        <f>Assumptions!$B$17*(1+Assumptions!$B$9)^2</f>
        <v/>
      </c>
      <c r="AI12" s="27">
        <f>Assumptions!$B$17*(1+Assumptions!$B$9)^2</f>
        <v/>
      </c>
      <c r="AJ12" s="27">
        <f>Assumptions!$B$17*(1+Assumptions!$B$9)^2</f>
        <v/>
      </c>
      <c r="AK12" s="27">
        <f>Assumptions!$B$17*(1+Assumptions!$B$9)^2</f>
        <v/>
      </c>
      <c r="AL12" s="27">
        <f>Assumptions!$B$17*(1+Assumptions!$B$9)^2</f>
        <v/>
      </c>
      <c r="AM12" s="27">
        <f>Assumptions!$B$17*(1+Assumptions!$B$9)^2</f>
        <v/>
      </c>
      <c r="AN12" s="27">
        <f>Assumptions!$B$17*(1+Assumptions!$B$9)^3</f>
        <v/>
      </c>
      <c r="AO12" s="27">
        <f>Assumptions!$B$17*(1+Assumptions!$B$9)^3</f>
        <v/>
      </c>
      <c r="AP12" s="27">
        <f>Assumptions!$B$17*(1+Assumptions!$B$9)^3</f>
        <v/>
      </c>
      <c r="AQ12" s="27">
        <f>Assumptions!$B$17*(1+Assumptions!$B$9)^3</f>
        <v/>
      </c>
      <c r="AR12" s="27">
        <f>Assumptions!$B$17*(1+Assumptions!$B$9)^3</f>
        <v/>
      </c>
      <c r="AS12" s="27">
        <f>Assumptions!$B$17*(1+Assumptions!$B$9)^3</f>
        <v/>
      </c>
      <c r="AT12" s="27">
        <f>Assumptions!$B$17*(1+Assumptions!$B$9)^3</f>
        <v/>
      </c>
      <c r="AU12" s="27">
        <f>Assumptions!$B$17*(1+Assumptions!$B$9)^3</f>
        <v/>
      </c>
      <c r="AV12" s="27">
        <f>Assumptions!$B$17*(1+Assumptions!$B$9)^3</f>
        <v/>
      </c>
      <c r="AW12" s="27">
        <f>Assumptions!$B$17*(1+Assumptions!$B$9)^3</f>
        <v/>
      </c>
      <c r="AX12" s="27">
        <f>Assumptions!$B$17*(1+Assumptions!$B$9)^3</f>
        <v/>
      </c>
      <c r="AY12" s="27">
        <f>Assumptions!$B$17*(1+Assumptions!$B$9)^3</f>
        <v/>
      </c>
      <c r="AZ12" s="27">
        <f>Assumptions!$B$17*(1+Assumptions!$B$9)^4</f>
        <v/>
      </c>
      <c r="BA12" s="27">
        <f>Assumptions!$B$17*(1+Assumptions!$B$9)^4</f>
        <v/>
      </c>
      <c r="BB12" s="27">
        <f>Assumptions!$B$17*(1+Assumptions!$B$9)^4</f>
        <v/>
      </c>
      <c r="BC12" s="27">
        <f>Assumptions!$B$17*(1+Assumptions!$B$9)^4</f>
        <v/>
      </c>
      <c r="BD12" s="27">
        <f>Assumptions!$B$17*(1+Assumptions!$B$9)^4</f>
        <v/>
      </c>
      <c r="BE12" s="27">
        <f>Assumptions!$B$17*(1+Assumptions!$B$9)^4</f>
        <v/>
      </c>
      <c r="BF12" s="27">
        <f>Assumptions!$B$17*(1+Assumptions!$B$9)^4</f>
        <v/>
      </c>
      <c r="BG12" s="27">
        <f>Assumptions!$B$17*(1+Assumptions!$B$9)^4</f>
        <v/>
      </c>
      <c r="BH12" s="27">
        <f>Assumptions!$B$17*(1+Assumptions!$B$9)^4</f>
        <v/>
      </c>
      <c r="BI12" s="27">
        <f>Assumptions!$B$17*(1+Assumptions!$B$9)^4</f>
        <v/>
      </c>
      <c r="BJ12" s="27">
        <f>Assumptions!$B$17*(1+Assumptions!$B$9)^4</f>
        <v/>
      </c>
      <c r="BK12" s="27">
        <f>Assumptions!$B$17*(1+Assumptions!$B$9)^4</f>
        <v/>
      </c>
      <c r="BL12" s="27">
        <f>Assumptions!$B$17*(1+Assumptions!$B$9)^5</f>
        <v/>
      </c>
      <c r="BM12" s="27">
        <f>Assumptions!$B$17*(1+Assumptions!$B$9)^5</f>
        <v/>
      </c>
      <c r="BN12" s="27">
        <f>Assumptions!$B$17*(1+Assumptions!$B$9)^5</f>
        <v/>
      </c>
      <c r="BO12" s="27">
        <f>Assumptions!$B$17*(1+Assumptions!$B$9)^5</f>
        <v/>
      </c>
      <c r="BP12" s="27">
        <f>Assumptions!$B$17*(1+Assumptions!$B$9)^5</f>
        <v/>
      </c>
      <c r="BQ12" s="27">
        <f>Assumptions!$B$17*(1+Assumptions!$B$9)^5</f>
        <v/>
      </c>
      <c r="BR12" s="27">
        <f>Assumptions!$B$17*(1+Assumptions!$B$9)^5</f>
        <v/>
      </c>
      <c r="BS12" s="27">
        <f>Assumptions!$B$17*(1+Assumptions!$B$9)^5</f>
        <v/>
      </c>
      <c r="BT12" s="27">
        <f>Assumptions!$B$17*(1+Assumptions!$B$9)^5</f>
        <v/>
      </c>
      <c r="BU12" s="27">
        <f>Assumptions!$B$17*(1+Assumptions!$B$9)^5</f>
        <v/>
      </c>
      <c r="BV12" s="27">
        <f>Assumptions!$B$17*(1+Assumptions!$B$9)^5</f>
        <v/>
      </c>
      <c r="BW12" s="27">
        <f>Assumptions!$B$17*(1+Assumptions!$B$9)^5</f>
        <v/>
      </c>
    </row>
    <row r="13">
      <c r="A13" s="87" t="inlineStr">
        <is>
          <t>Subscription revenue (CPS + IAA amort.)</t>
        </is>
      </c>
      <c r="D13" s="77">
        <f>D6*D12 + ($D$5*'Cancel Curves'!$B$12)*Assumptions!$B$76</f>
        <v/>
      </c>
      <c r="E13" s="77">
        <f>E6*E12 + ($D$5*'Cancel Curves'!$C$12 + $E$5*'Cancel Curves'!$B$12)*Assumptions!$B$76</f>
        <v/>
      </c>
      <c r="F13" s="77">
        <f>F6*F12 + ($D$5*'Cancel Curves'!$D$12 + $E$5*'Cancel Curves'!$C$12 + $F$5*'Cancel Curves'!$B$12)*Assumptions!$B$76</f>
        <v/>
      </c>
      <c r="G13" s="77">
        <f>G6*G12 + ($D$5*'Cancel Curves'!$E$12 + $E$5*'Cancel Curves'!$D$12 + $F$5*'Cancel Curves'!$C$12 + $G$5*'Cancel Curves'!$B$12)*Assumptions!$B$76</f>
        <v/>
      </c>
      <c r="H13" s="77">
        <f>H6*H12 + ($D$5*'Cancel Curves'!$F$12 + $E$5*'Cancel Curves'!$E$12 + $F$5*'Cancel Curves'!$D$12 + $G$5*'Cancel Curves'!$C$12 + $H$5*'Cancel Curves'!$B$12)*Assumptions!$B$76</f>
        <v/>
      </c>
      <c r="I13" s="77">
        <f>I6*I12 + ($D$5*'Cancel Curves'!$G$12 + $E$5*'Cancel Curves'!$F$12 + $F$5*'Cancel Curves'!$E$12 + $G$5*'Cancel Curves'!$D$12 + $H$5*'Cancel Curves'!$C$12 + $I$5*'Cancel Curves'!$B$12)*Assumptions!$B$76</f>
        <v/>
      </c>
      <c r="J13" s="77">
        <f>J6*J12 + ($D$5*'Cancel Curves'!$H$12 + $E$5*'Cancel Curves'!$G$12 + $F$5*'Cancel Curves'!$F$12 + $G$5*'Cancel Curves'!$E$12 + $H$5*'Cancel Curves'!$D$12 + $I$5*'Cancel Curves'!$C$12 + $J$5*'Cancel Curves'!$B$12)*Assumptions!$B$76</f>
        <v/>
      </c>
      <c r="K13" s="77">
        <f>K6*K12 + ($D$5*'Cancel Curves'!$I$12 + $E$5*'Cancel Curves'!$H$12 + $F$5*'Cancel Curves'!$G$12 + $G$5*'Cancel Curves'!$F$12 + $H$5*'Cancel Curves'!$E$12 + $I$5*'Cancel Curves'!$D$12 + $J$5*'Cancel Curves'!$C$12 + $K$5*'Cancel Curves'!$B$12)*Assumptions!$B$76</f>
        <v/>
      </c>
      <c r="L13" s="77">
        <f>L6*L12 + ($D$5*'Cancel Curves'!$J$12 + $E$5*'Cancel Curves'!$I$12 + $F$5*'Cancel Curves'!$H$12 + $G$5*'Cancel Curves'!$G$12 + $H$5*'Cancel Curves'!$F$12 + $I$5*'Cancel Curves'!$E$12 + $J$5*'Cancel Curves'!$D$12 + $K$5*'Cancel Curves'!$C$12 + $L$5*'Cancel Curves'!$B$12)*Assumptions!$B$76</f>
        <v/>
      </c>
      <c r="M13" s="77">
        <f>M6*M12 + ($D$5*'Cancel Curves'!$K$12 + $E$5*'Cancel Curves'!$J$12 + $F$5*'Cancel Curves'!$I$12 + $G$5*'Cancel Curves'!$H$12 + $H$5*'Cancel Curves'!$G$12 + $I$5*'Cancel Curves'!$F$12 + $J$5*'Cancel Curves'!$E$12 + $K$5*'Cancel Curves'!$D$12 + $L$5*'Cancel Curves'!$C$12 + $M$5*'Cancel Curves'!$B$12)*Assumptions!$B$76</f>
        <v/>
      </c>
      <c r="N13" s="77">
        <f>N6*N12 + ($D$5*'Cancel Curves'!$L$12 + $E$5*'Cancel Curves'!$K$12 + $F$5*'Cancel Curves'!$J$12 + $G$5*'Cancel Curves'!$I$12 + $H$5*'Cancel Curves'!$H$12 + $I$5*'Cancel Curves'!$G$12 + $J$5*'Cancel Curves'!$F$12 + $K$5*'Cancel Curves'!$E$12 + $L$5*'Cancel Curves'!$D$12 + $M$5*'Cancel Curves'!$C$12 + $N$5*'Cancel Curves'!$B$12)*Assumptions!$B$76</f>
        <v/>
      </c>
      <c r="O13" s="77">
        <f>O6*O12 + ($D$5*'Cancel Curves'!$M$12 + $E$5*'Cancel Curves'!$L$12 + $F$5*'Cancel Curves'!$K$12 + $G$5*'Cancel Curves'!$J$12 + $H$5*'Cancel Curves'!$I$12 + $I$5*'Cancel Curves'!$H$12 + $J$5*'Cancel Curves'!$G$12 + $K$5*'Cancel Curves'!$F$12 + $L$5*'Cancel Curves'!$E$12 + $M$5*'Cancel Curves'!$D$12 + $N$5*'Cancel Curves'!$C$12 + $O$5*'Cancel Curves'!$B$12)*Assumptions!$B$76</f>
        <v/>
      </c>
      <c r="P13" s="77">
        <f>P6*P12 + ($E$5*'Cancel Curves'!$M$12 + $F$5*'Cancel Curves'!$L$12 + $G$5*'Cancel Curves'!$K$12 + $H$5*'Cancel Curves'!$J$12 + $I$5*'Cancel Curves'!$I$12 + $J$5*'Cancel Curves'!$H$12 + $K$5*'Cancel Curves'!$G$12 + $L$5*'Cancel Curves'!$F$12 + $M$5*'Cancel Curves'!$E$12 + $N$5*'Cancel Curves'!$D$12 + $O$5*'Cancel Curves'!$C$12 + $P$5*'Cancel Curves'!$B$12)*Assumptions!$B$76</f>
        <v/>
      </c>
      <c r="Q13" s="77">
        <f>Q6*Q12 + ($F$5*'Cancel Curves'!$M$12 + $G$5*'Cancel Curves'!$L$12 + $H$5*'Cancel Curves'!$K$12 + $I$5*'Cancel Curves'!$J$12 + $J$5*'Cancel Curves'!$I$12 + $K$5*'Cancel Curves'!$H$12 + $L$5*'Cancel Curves'!$G$12 + $M$5*'Cancel Curves'!$F$12 + $N$5*'Cancel Curves'!$E$12 + $O$5*'Cancel Curves'!$D$12 + $P$5*'Cancel Curves'!$C$12 + $Q$5*'Cancel Curves'!$B$12)*Assumptions!$B$76</f>
        <v/>
      </c>
      <c r="R13" s="77">
        <f>R6*R12 + ($G$5*'Cancel Curves'!$M$12 + $H$5*'Cancel Curves'!$L$12 + $I$5*'Cancel Curves'!$K$12 + $J$5*'Cancel Curves'!$J$12 + $K$5*'Cancel Curves'!$I$12 + $L$5*'Cancel Curves'!$H$12 + $M$5*'Cancel Curves'!$G$12 + $N$5*'Cancel Curves'!$F$12 + $O$5*'Cancel Curves'!$E$12 + $P$5*'Cancel Curves'!$D$12 + $Q$5*'Cancel Curves'!$C$12 + $R$5*'Cancel Curves'!$B$12)*Assumptions!$B$76</f>
        <v/>
      </c>
      <c r="S13" s="77">
        <f>S6*S12 + ($H$5*'Cancel Curves'!$M$12 + $I$5*'Cancel Curves'!$L$12 + $J$5*'Cancel Curves'!$K$12 + $K$5*'Cancel Curves'!$J$12 + $L$5*'Cancel Curves'!$I$12 + $M$5*'Cancel Curves'!$H$12 + $N$5*'Cancel Curves'!$G$12 + $O$5*'Cancel Curves'!$F$12 + $P$5*'Cancel Curves'!$E$12 + $Q$5*'Cancel Curves'!$D$12 + $R$5*'Cancel Curves'!$C$12 + $S$5*'Cancel Curves'!$B$12)*Assumptions!$B$76</f>
        <v/>
      </c>
      <c r="T13" s="77">
        <f>T6*T12 + ($I$5*'Cancel Curves'!$M$12 + $J$5*'Cancel Curves'!$L$12 + $K$5*'Cancel Curves'!$K$12 + $L$5*'Cancel Curves'!$J$12 + $M$5*'Cancel Curves'!$I$12 + $N$5*'Cancel Curves'!$H$12 + $O$5*'Cancel Curves'!$G$12 + $P$5*'Cancel Curves'!$F$12 + $Q$5*'Cancel Curves'!$E$12 + $R$5*'Cancel Curves'!$D$12 + $S$5*'Cancel Curves'!$C$12 + $T$5*'Cancel Curves'!$B$12)*Assumptions!$B$76</f>
        <v/>
      </c>
      <c r="U13" s="77">
        <f>U6*U12 + ($J$5*'Cancel Curves'!$M$12 + $K$5*'Cancel Curves'!$L$12 + $L$5*'Cancel Curves'!$K$12 + $M$5*'Cancel Curves'!$J$12 + $N$5*'Cancel Curves'!$I$12 + $O$5*'Cancel Curves'!$H$12 + $P$5*'Cancel Curves'!$G$12 + $Q$5*'Cancel Curves'!$F$12 + $R$5*'Cancel Curves'!$E$12 + $S$5*'Cancel Curves'!$D$12 + $T$5*'Cancel Curves'!$C$12 + $U$5*'Cancel Curves'!$B$12)*Assumptions!$B$76</f>
        <v/>
      </c>
      <c r="V13" s="77">
        <f>V6*V12 + ($K$5*'Cancel Curves'!$M$12 + $L$5*'Cancel Curves'!$L$12 + $M$5*'Cancel Curves'!$K$12 + $N$5*'Cancel Curves'!$J$12 + $O$5*'Cancel Curves'!$I$12 + $P$5*'Cancel Curves'!$H$12 + $Q$5*'Cancel Curves'!$G$12 + $R$5*'Cancel Curves'!$F$12 + $S$5*'Cancel Curves'!$E$12 + $T$5*'Cancel Curves'!$D$12 + $U$5*'Cancel Curves'!$C$12 + $V$5*'Cancel Curves'!$B$12)*Assumptions!$B$76</f>
        <v/>
      </c>
      <c r="W13" s="77">
        <f>W6*W12 + ($L$5*'Cancel Curves'!$M$12 + $M$5*'Cancel Curves'!$L$12 + $N$5*'Cancel Curves'!$K$12 + $O$5*'Cancel Curves'!$J$12 + $P$5*'Cancel Curves'!$I$12 + $Q$5*'Cancel Curves'!$H$12 + $R$5*'Cancel Curves'!$G$12 + $S$5*'Cancel Curves'!$F$12 + $T$5*'Cancel Curves'!$E$12 + $U$5*'Cancel Curves'!$D$12 + $V$5*'Cancel Curves'!$C$12 + $W$5*'Cancel Curves'!$B$12)*Assumptions!$B$76</f>
        <v/>
      </c>
      <c r="X13" s="77">
        <f>X6*X12 + ($M$5*'Cancel Curves'!$M$12 + $N$5*'Cancel Curves'!$L$12 + $O$5*'Cancel Curves'!$K$12 + $P$5*'Cancel Curves'!$J$12 + $Q$5*'Cancel Curves'!$I$12 + $R$5*'Cancel Curves'!$H$12 + $S$5*'Cancel Curves'!$G$12 + $T$5*'Cancel Curves'!$F$12 + $U$5*'Cancel Curves'!$E$12 + $V$5*'Cancel Curves'!$D$12 + $W$5*'Cancel Curves'!$C$12 + $X$5*'Cancel Curves'!$B$12)*Assumptions!$B$76</f>
        <v/>
      </c>
      <c r="Y13" s="77">
        <f>Y6*Y12 + ($N$5*'Cancel Curves'!$M$12 + $O$5*'Cancel Curves'!$L$12 + $P$5*'Cancel Curves'!$K$12 + $Q$5*'Cancel Curves'!$J$12 + $R$5*'Cancel Curves'!$I$12 + $S$5*'Cancel Curves'!$H$12 + $T$5*'Cancel Curves'!$G$12 + $U$5*'Cancel Curves'!$F$12 + $V$5*'Cancel Curves'!$E$12 + $W$5*'Cancel Curves'!$D$12 + $X$5*'Cancel Curves'!$C$12 + $Y$5*'Cancel Curves'!$B$12)*Assumptions!$B$76</f>
        <v/>
      </c>
      <c r="Z13" s="77">
        <f>Z6*Z12 + ($O$5*'Cancel Curves'!$M$12 + $P$5*'Cancel Curves'!$L$12 + $Q$5*'Cancel Curves'!$K$12 + $R$5*'Cancel Curves'!$J$12 + $S$5*'Cancel Curves'!$I$12 + $T$5*'Cancel Curves'!$H$12 + $U$5*'Cancel Curves'!$G$12 + $V$5*'Cancel Curves'!$F$12 + $W$5*'Cancel Curves'!$E$12 + $X$5*'Cancel Curves'!$D$12 + $Y$5*'Cancel Curves'!$C$12 + $Z$5*'Cancel Curves'!$B$12)*Assumptions!$B$76</f>
        <v/>
      </c>
      <c r="AA13" s="77">
        <f>AA6*AA12 + ($P$5*'Cancel Curves'!$M$12 + $Q$5*'Cancel Curves'!$L$12 + $R$5*'Cancel Curves'!$K$12 + $S$5*'Cancel Curves'!$J$12 + $T$5*'Cancel Curves'!$I$12 + $U$5*'Cancel Curves'!$H$12 + $V$5*'Cancel Curves'!$G$12 + $W$5*'Cancel Curves'!$F$12 + $X$5*'Cancel Curves'!$E$12 + $Y$5*'Cancel Curves'!$D$12 + $Z$5*'Cancel Curves'!$C$12 + $AA$5*'Cancel Curves'!$B$12)*Assumptions!$B$76</f>
        <v/>
      </c>
      <c r="AB13" s="77">
        <f>AB6*AB12 + ($Q$5*'Cancel Curves'!$M$12 + $R$5*'Cancel Curves'!$L$12 + $S$5*'Cancel Curves'!$K$12 + $T$5*'Cancel Curves'!$J$12 + $U$5*'Cancel Curves'!$I$12 + $V$5*'Cancel Curves'!$H$12 + $W$5*'Cancel Curves'!$G$12 + $X$5*'Cancel Curves'!$F$12 + $Y$5*'Cancel Curves'!$E$12 + $Z$5*'Cancel Curves'!$D$12 + $AA$5*'Cancel Curves'!$C$12 + $AB$5*'Cancel Curves'!$B$12)*Assumptions!$B$76</f>
        <v/>
      </c>
      <c r="AC13" s="77">
        <f>AC6*AC12 + ($R$5*'Cancel Curves'!$M$12 + $S$5*'Cancel Curves'!$L$12 + $T$5*'Cancel Curves'!$K$12 + $U$5*'Cancel Curves'!$J$12 + $V$5*'Cancel Curves'!$I$12 + $W$5*'Cancel Curves'!$H$12 + $X$5*'Cancel Curves'!$G$12 + $Y$5*'Cancel Curves'!$F$12 + $Z$5*'Cancel Curves'!$E$12 + $AA$5*'Cancel Curves'!$D$12 + $AB$5*'Cancel Curves'!$C$12 + $AC$5*'Cancel Curves'!$B$12)*Assumptions!$B$76</f>
        <v/>
      </c>
      <c r="AD13" s="77">
        <f>AD6*AD12 + ($S$5*'Cancel Curves'!$M$12 + $T$5*'Cancel Curves'!$L$12 + $U$5*'Cancel Curves'!$K$12 + $V$5*'Cancel Curves'!$J$12 + $W$5*'Cancel Curves'!$I$12 + $X$5*'Cancel Curves'!$H$12 + $Y$5*'Cancel Curves'!$G$12 + $Z$5*'Cancel Curves'!$F$12 + $AA$5*'Cancel Curves'!$E$12 + $AB$5*'Cancel Curves'!$D$12 + $AC$5*'Cancel Curves'!$C$12 + $AD$5*'Cancel Curves'!$B$12)*Assumptions!$B$76</f>
        <v/>
      </c>
      <c r="AE13" s="77">
        <f>AE6*AE12 + ($T$5*'Cancel Curves'!$M$12 + $U$5*'Cancel Curves'!$L$12 + $V$5*'Cancel Curves'!$K$12 + $W$5*'Cancel Curves'!$J$12 + $X$5*'Cancel Curves'!$I$12 + $Y$5*'Cancel Curves'!$H$12 + $Z$5*'Cancel Curves'!$G$12 + $AA$5*'Cancel Curves'!$F$12 + $AB$5*'Cancel Curves'!$E$12 + $AC$5*'Cancel Curves'!$D$12 + $AD$5*'Cancel Curves'!$C$12 + $AE$5*'Cancel Curves'!$B$12)*Assumptions!$B$76</f>
        <v/>
      </c>
      <c r="AF13" s="77">
        <f>AF6*AF12 + ($U$5*'Cancel Curves'!$M$12 + $V$5*'Cancel Curves'!$L$12 + $W$5*'Cancel Curves'!$K$12 + $X$5*'Cancel Curves'!$J$12 + $Y$5*'Cancel Curves'!$I$12 + $Z$5*'Cancel Curves'!$H$12 + $AA$5*'Cancel Curves'!$G$12 + $AB$5*'Cancel Curves'!$F$12 + $AC$5*'Cancel Curves'!$E$12 + $AD$5*'Cancel Curves'!$D$12 + $AE$5*'Cancel Curves'!$C$12 + $AF$5*'Cancel Curves'!$B$12)*Assumptions!$B$76</f>
        <v/>
      </c>
      <c r="AG13" s="77">
        <f>AG6*AG12 + ($V$5*'Cancel Curves'!$M$12 + $W$5*'Cancel Curves'!$L$12 + $X$5*'Cancel Curves'!$K$12 + $Y$5*'Cancel Curves'!$J$12 + $Z$5*'Cancel Curves'!$I$12 + $AA$5*'Cancel Curves'!$H$12 + $AB$5*'Cancel Curves'!$G$12 + $AC$5*'Cancel Curves'!$F$12 + $AD$5*'Cancel Curves'!$E$12 + $AE$5*'Cancel Curves'!$D$12 + $AF$5*'Cancel Curves'!$C$12 + $AG$5*'Cancel Curves'!$B$12)*Assumptions!$B$76</f>
        <v/>
      </c>
      <c r="AH13" s="77">
        <f>AH6*AH12 + ($W$5*'Cancel Curves'!$M$12 + $X$5*'Cancel Curves'!$L$12 + $Y$5*'Cancel Curves'!$K$12 + $Z$5*'Cancel Curves'!$J$12 + $AA$5*'Cancel Curves'!$I$12 + $AB$5*'Cancel Curves'!$H$12 + $AC$5*'Cancel Curves'!$G$12 + $AD$5*'Cancel Curves'!$F$12 + $AE$5*'Cancel Curves'!$E$12 + $AF$5*'Cancel Curves'!$D$12 + $AG$5*'Cancel Curves'!$C$12 + $AH$5*'Cancel Curves'!$B$12)*Assumptions!$B$76</f>
        <v/>
      </c>
      <c r="AI13" s="77">
        <f>AI6*AI12 + ($X$5*'Cancel Curves'!$M$12 + $Y$5*'Cancel Curves'!$L$12 + $Z$5*'Cancel Curves'!$K$12 + $AA$5*'Cancel Curves'!$J$12 + $AB$5*'Cancel Curves'!$I$12 + $AC$5*'Cancel Curves'!$H$12 + $AD$5*'Cancel Curves'!$G$12 + $AE$5*'Cancel Curves'!$F$12 + $AF$5*'Cancel Curves'!$E$12 + $AG$5*'Cancel Curves'!$D$12 + $AH$5*'Cancel Curves'!$C$12 + $AI$5*'Cancel Curves'!$B$12)*Assumptions!$B$76</f>
        <v/>
      </c>
      <c r="AJ13" s="77">
        <f>AJ6*AJ12 + ($Y$5*'Cancel Curves'!$M$12 + $Z$5*'Cancel Curves'!$L$12 + $AA$5*'Cancel Curves'!$K$12 + $AB$5*'Cancel Curves'!$J$12 + $AC$5*'Cancel Curves'!$I$12 + $AD$5*'Cancel Curves'!$H$12 + $AE$5*'Cancel Curves'!$G$12 + $AF$5*'Cancel Curves'!$F$12 + $AG$5*'Cancel Curves'!$E$12 + $AH$5*'Cancel Curves'!$D$12 + $AI$5*'Cancel Curves'!$C$12 + $AJ$5*'Cancel Curves'!$B$12)*Assumptions!$B$76</f>
        <v/>
      </c>
      <c r="AK13" s="77">
        <f>AK6*AK12 + ($Z$5*'Cancel Curves'!$M$12 + $AA$5*'Cancel Curves'!$L$12 + $AB$5*'Cancel Curves'!$K$12 + $AC$5*'Cancel Curves'!$J$12 + $AD$5*'Cancel Curves'!$I$12 + $AE$5*'Cancel Curves'!$H$12 + $AF$5*'Cancel Curves'!$G$12 + $AG$5*'Cancel Curves'!$F$12 + $AH$5*'Cancel Curves'!$E$12 + $AI$5*'Cancel Curves'!$D$12 + $AJ$5*'Cancel Curves'!$C$12 + $AK$5*'Cancel Curves'!$B$12)*Assumptions!$B$76</f>
        <v/>
      </c>
      <c r="AL13" s="77">
        <f>AL6*AL12 + ($AA$5*'Cancel Curves'!$M$12 + $AB$5*'Cancel Curves'!$L$12 + $AC$5*'Cancel Curves'!$K$12 + $AD$5*'Cancel Curves'!$J$12 + $AE$5*'Cancel Curves'!$I$12 + $AF$5*'Cancel Curves'!$H$12 + $AG$5*'Cancel Curves'!$G$12 + $AH$5*'Cancel Curves'!$F$12 + $AI$5*'Cancel Curves'!$E$12 + $AJ$5*'Cancel Curves'!$D$12 + $AK$5*'Cancel Curves'!$C$12 + $AL$5*'Cancel Curves'!$B$12)*Assumptions!$B$76</f>
        <v/>
      </c>
      <c r="AM13" s="77">
        <f>AM6*AM12 + ($AB$5*'Cancel Curves'!$M$12 + $AC$5*'Cancel Curves'!$L$12 + $AD$5*'Cancel Curves'!$K$12 + $AE$5*'Cancel Curves'!$J$12 + $AF$5*'Cancel Curves'!$I$12 + $AG$5*'Cancel Curves'!$H$12 + $AH$5*'Cancel Curves'!$G$12 + $AI$5*'Cancel Curves'!$F$12 + $AJ$5*'Cancel Curves'!$E$12 + $AK$5*'Cancel Curves'!$D$12 + $AL$5*'Cancel Curves'!$C$12 + $AM$5*'Cancel Curves'!$B$12)*Assumptions!$B$76</f>
        <v/>
      </c>
      <c r="AN13" s="77">
        <f>AN6*AN12 + ($AC$5*'Cancel Curves'!$M$12 + $AD$5*'Cancel Curves'!$L$12 + $AE$5*'Cancel Curves'!$K$12 + $AF$5*'Cancel Curves'!$J$12 + $AG$5*'Cancel Curves'!$I$12 + $AH$5*'Cancel Curves'!$H$12 + $AI$5*'Cancel Curves'!$G$12 + $AJ$5*'Cancel Curves'!$F$12 + $AK$5*'Cancel Curves'!$E$12 + $AL$5*'Cancel Curves'!$D$12 + $AM$5*'Cancel Curves'!$C$12 + $AN$5*'Cancel Curves'!$B$12)*Assumptions!$B$76</f>
        <v/>
      </c>
      <c r="AO13" s="77">
        <f>AO6*AO12 + ($AD$5*'Cancel Curves'!$M$12 + $AE$5*'Cancel Curves'!$L$12 + $AF$5*'Cancel Curves'!$K$12 + $AG$5*'Cancel Curves'!$J$12 + $AH$5*'Cancel Curves'!$I$12 + $AI$5*'Cancel Curves'!$H$12 + $AJ$5*'Cancel Curves'!$G$12 + $AK$5*'Cancel Curves'!$F$12 + $AL$5*'Cancel Curves'!$E$12 + $AM$5*'Cancel Curves'!$D$12 + $AN$5*'Cancel Curves'!$C$12 + $AO$5*'Cancel Curves'!$B$12)*Assumptions!$B$76</f>
        <v/>
      </c>
      <c r="AP13" s="77">
        <f>AP6*AP12 + ($AE$5*'Cancel Curves'!$M$12 + $AF$5*'Cancel Curves'!$L$12 + $AG$5*'Cancel Curves'!$K$12 + $AH$5*'Cancel Curves'!$J$12 + $AI$5*'Cancel Curves'!$I$12 + $AJ$5*'Cancel Curves'!$H$12 + $AK$5*'Cancel Curves'!$G$12 + $AL$5*'Cancel Curves'!$F$12 + $AM$5*'Cancel Curves'!$E$12 + $AN$5*'Cancel Curves'!$D$12 + $AO$5*'Cancel Curves'!$C$12 + $AP$5*'Cancel Curves'!$B$12)*Assumptions!$B$76</f>
        <v/>
      </c>
      <c r="AQ13" s="77">
        <f>AQ6*AQ12 + ($AF$5*'Cancel Curves'!$M$12 + $AG$5*'Cancel Curves'!$L$12 + $AH$5*'Cancel Curves'!$K$12 + $AI$5*'Cancel Curves'!$J$12 + $AJ$5*'Cancel Curves'!$I$12 + $AK$5*'Cancel Curves'!$H$12 + $AL$5*'Cancel Curves'!$G$12 + $AM$5*'Cancel Curves'!$F$12 + $AN$5*'Cancel Curves'!$E$12 + $AO$5*'Cancel Curves'!$D$12 + $AP$5*'Cancel Curves'!$C$12 + $AQ$5*'Cancel Curves'!$B$12)*Assumptions!$B$76</f>
        <v/>
      </c>
      <c r="AR13" s="77">
        <f>AR6*AR12 + ($AG$5*'Cancel Curves'!$M$12 + $AH$5*'Cancel Curves'!$L$12 + $AI$5*'Cancel Curves'!$K$12 + $AJ$5*'Cancel Curves'!$J$12 + $AK$5*'Cancel Curves'!$I$12 + $AL$5*'Cancel Curves'!$H$12 + $AM$5*'Cancel Curves'!$G$12 + $AN$5*'Cancel Curves'!$F$12 + $AO$5*'Cancel Curves'!$E$12 + $AP$5*'Cancel Curves'!$D$12 + $AQ$5*'Cancel Curves'!$C$12 + $AR$5*'Cancel Curves'!$B$12)*Assumptions!$B$76</f>
        <v/>
      </c>
      <c r="AS13" s="77">
        <f>AS6*AS12 + ($AH$5*'Cancel Curves'!$M$12 + $AI$5*'Cancel Curves'!$L$12 + $AJ$5*'Cancel Curves'!$K$12 + $AK$5*'Cancel Curves'!$J$12 + $AL$5*'Cancel Curves'!$I$12 + $AM$5*'Cancel Curves'!$H$12 + $AN$5*'Cancel Curves'!$G$12 + $AO$5*'Cancel Curves'!$F$12 + $AP$5*'Cancel Curves'!$E$12 + $AQ$5*'Cancel Curves'!$D$12 + $AR$5*'Cancel Curves'!$C$12 + $AS$5*'Cancel Curves'!$B$12)*Assumptions!$B$76</f>
        <v/>
      </c>
      <c r="AT13" s="77">
        <f>AT6*AT12 + ($AI$5*'Cancel Curves'!$M$12 + $AJ$5*'Cancel Curves'!$L$12 + $AK$5*'Cancel Curves'!$K$12 + $AL$5*'Cancel Curves'!$J$12 + $AM$5*'Cancel Curves'!$I$12 + $AN$5*'Cancel Curves'!$H$12 + $AO$5*'Cancel Curves'!$G$12 + $AP$5*'Cancel Curves'!$F$12 + $AQ$5*'Cancel Curves'!$E$12 + $AR$5*'Cancel Curves'!$D$12 + $AS$5*'Cancel Curves'!$C$12 + $AT$5*'Cancel Curves'!$B$12)*Assumptions!$B$76</f>
        <v/>
      </c>
      <c r="AU13" s="77">
        <f>AU6*AU12 + ($AJ$5*'Cancel Curves'!$M$12 + $AK$5*'Cancel Curves'!$L$12 + $AL$5*'Cancel Curves'!$K$12 + $AM$5*'Cancel Curves'!$J$12 + $AN$5*'Cancel Curves'!$I$12 + $AO$5*'Cancel Curves'!$H$12 + $AP$5*'Cancel Curves'!$G$12 + $AQ$5*'Cancel Curves'!$F$12 + $AR$5*'Cancel Curves'!$E$12 + $AS$5*'Cancel Curves'!$D$12 + $AT$5*'Cancel Curves'!$C$12 + $AU$5*'Cancel Curves'!$B$12)*Assumptions!$B$76</f>
        <v/>
      </c>
      <c r="AV13" s="77">
        <f>AV6*AV12 + ($AK$5*'Cancel Curves'!$M$12 + $AL$5*'Cancel Curves'!$L$12 + $AM$5*'Cancel Curves'!$K$12 + $AN$5*'Cancel Curves'!$J$12 + $AO$5*'Cancel Curves'!$I$12 + $AP$5*'Cancel Curves'!$H$12 + $AQ$5*'Cancel Curves'!$G$12 + $AR$5*'Cancel Curves'!$F$12 + $AS$5*'Cancel Curves'!$E$12 + $AT$5*'Cancel Curves'!$D$12 + $AU$5*'Cancel Curves'!$C$12 + $AV$5*'Cancel Curves'!$B$12)*Assumptions!$B$76</f>
        <v/>
      </c>
      <c r="AW13" s="77">
        <f>AW6*AW12 + ($AL$5*'Cancel Curves'!$M$12 + $AM$5*'Cancel Curves'!$L$12 + $AN$5*'Cancel Curves'!$K$12 + $AO$5*'Cancel Curves'!$J$12 + $AP$5*'Cancel Curves'!$I$12 + $AQ$5*'Cancel Curves'!$H$12 + $AR$5*'Cancel Curves'!$G$12 + $AS$5*'Cancel Curves'!$F$12 + $AT$5*'Cancel Curves'!$E$12 + $AU$5*'Cancel Curves'!$D$12 + $AV$5*'Cancel Curves'!$C$12 + $AW$5*'Cancel Curves'!$B$12)*Assumptions!$B$76</f>
        <v/>
      </c>
      <c r="AX13" s="77">
        <f>AX6*AX12 + ($AM$5*'Cancel Curves'!$M$12 + $AN$5*'Cancel Curves'!$L$12 + $AO$5*'Cancel Curves'!$K$12 + $AP$5*'Cancel Curves'!$J$12 + $AQ$5*'Cancel Curves'!$I$12 + $AR$5*'Cancel Curves'!$H$12 + $AS$5*'Cancel Curves'!$G$12 + $AT$5*'Cancel Curves'!$F$12 + $AU$5*'Cancel Curves'!$E$12 + $AV$5*'Cancel Curves'!$D$12 + $AW$5*'Cancel Curves'!$C$12 + $AX$5*'Cancel Curves'!$B$12)*Assumptions!$B$76</f>
        <v/>
      </c>
      <c r="AY13" s="77">
        <f>AY6*AY12 + ($AN$5*'Cancel Curves'!$M$12 + $AO$5*'Cancel Curves'!$L$12 + $AP$5*'Cancel Curves'!$K$12 + $AQ$5*'Cancel Curves'!$J$12 + $AR$5*'Cancel Curves'!$I$12 + $AS$5*'Cancel Curves'!$H$12 + $AT$5*'Cancel Curves'!$G$12 + $AU$5*'Cancel Curves'!$F$12 + $AV$5*'Cancel Curves'!$E$12 + $AW$5*'Cancel Curves'!$D$12 + $AX$5*'Cancel Curves'!$C$12 + $AY$5*'Cancel Curves'!$B$12)*Assumptions!$B$76</f>
        <v/>
      </c>
      <c r="AZ13" s="77">
        <f>AZ6*AZ12 + ($AO$5*'Cancel Curves'!$M$12 + $AP$5*'Cancel Curves'!$L$12 + $AQ$5*'Cancel Curves'!$K$12 + $AR$5*'Cancel Curves'!$J$12 + $AS$5*'Cancel Curves'!$I$12 + $AT$5*'Cancel Curves'!$H$12 + $AU$5*'Cancel Curves'!$G$12 + $AV$5*'Cancel Curves'!$F$12 + $AW$5*'Cancel Curves'!$E$12 + $AX$5*'Cancel Curves'!$D$12 + $AY$5*'Cancel Curves'!$C$12 + $AZ$5*'Cancel Curves'!$B$12)*Assumptions!$B$76</f>
        <v/>
      </c>
      <c r="BA13" s="77">
        <f>BA6*BA12 + ($AP$5*'Cancel Curves'!$M$12 + $AQ$5*'Cancel Curves'!$L$12 + $AR$5*'Cancel Curves'!$K$12 + $AS$5*'Cancel Curves'!$J$12 + $AT$5*'Cancel Curves'!$I$12 + $AU$5*'Cancel Curves'!$H$12 + $AV$5*'Cancel Curves'!$G$12 + $AW$5*'Cancel Curves'!$F$12 + $AX$5*'Cancel Curves'!$E$12 + $AY$5*'Cancel Curves'!$D$12 + $AZ$5*'Cancel Curves'!$C$12 + $BA$5*'Cancel Curves'!$B$12)*Assumptions!$B$76</f>
        <v/>
      </c>
      <c r="BB13" s="77">
        <f>BB6*BB12 + ($AQ$5*'Cancel Curves'!$M$12 + $AR$5*'Cancel Curves'!$L$12 + $AS$5*'Cancel Curves'!$K$12 + $AT$5*'Cancel Curves'!$J$12 + $AU$5*'Cancel Curves'!$I$12 + $AV$5*'Cancel Curves'!$H$12 + $AW$5*'Cancel Curves'!$G$12 + $AX$5*'Cancel Curves'!$F$12 + $AY$5*'Cancel Curves'!$E$12 + $AZ$5*'Cancel Curves'!$D$12 + $BA$5*'Cancel Curves'!$C$12 + $BB$5*'Cancel Curves'!$B$12)*Assumptions!$B$76</f>
        <v/>
      </c>
      <c r="BC13" s="77">
        <f>BC6*BC12 + ($AR$5*'Cancel Curves'!$M$12 + $AS$5*'Cancel Curves'!$L$12 + $AT$5*'Cancel Curves'!$K$12 + $AU$5*'Cancel Curves'!$J$12 + $AV$5*'Cancel Curves'!$I$12 + $AW$5*'Cancel Curves'!$H$12 + $AX$5*'Cancel Curves'!$G$12 + $AY$5*'Cancel Curves'!$F$12 + $AZ$5*'Cancel Curves'!$E$12 + $BA$5*'Cancel Curves'!$D$12 + $BB$5*'Cancel Curves'!$C$12 + $BC$5*'Cancel Curves'!$B$12)*Assumptions!$B$76</f>
        <v/>
      </c>
      <c r="BD13" s="77">
        <f>BD6*BD12 + ($AS$5*'Cancel Curves'!$M$12 + $AT$5*'Cancel Curves'!$L$12 + $AU$5*'Cancel Curves'!$K$12 + $AV$5*'Cancel Curves'!$J$12 + $AW$5*'Cancel Curves'!$I$12 + $AX$5*'Cancel Curves'!$H$12 + $AY$5*'Cancel Curves'!$G$12 + $AZ$5*'Cancel Curves'!$F$12 + $BA$5*'Cancel Curves'!$E$12 + $BB$5*'Cancel Curves'!$D$12 + $BC$5*'Cancel Curves'!$C$12 + $BD$5*'Cancel Curves'!$B$12)*Assumptions!$B$76</f>
        <v/>
      </c>
      <c r="BE13" s="77">
        <f>BE6*BE12 + ($AT$5*'Cancel Curves'!$M$12 + $AU$5*'Cancel Curves'!$L$12 + $AV$5*'Cancel Curves'!$K$12 + $AW$5*'Cancel Curves'!$J$12 + $AX$5*'Cancel Curves'!$I$12 + $AY$5*'Cancel Curves'!$H$12 + $AZ$5*'Cancel Curves'!$G$12 + $BA$5*'Cancel Curves'!$F$12 + $BB$5*'Cancel Curves'!$E$12 + $BC$5*'Cancel Curves'!$D$12 + $BD$5*'Cancel Curves'!$C$12 + $BE$5*'Cancel Curves'!$B$12)*Assumptions!$B$76</f>
        <v/>
      </c>
      <c r="BF13" s="77">
        <f>BF6*BF12 + ($AU$5*'Cancel Curves'!$M$12 + $AV$5*'Cancel Curves'!$L$12 + $AW$5*'Cancel Curves'!$K$12 + $AX$5*'Cancel Curves'!$J$12 + $AY$5*'Cancel Curves'!$I$12 + $AZ$5*'Cancel Curves'!$H$12 + $BA$5*'Cancel Curves'!$G$12 + $BB$5*'Cancel Curves'!$F$12 + $BC$5*'Cancel Curves'!$E$12 + $BD$5*'Cancel Curves'!$D$12 + $BE$5*'Cancel Curves'!$C$12 + $BF$5*'Cancel Curves'!$B$12)*Assumptions!$B$76</f>
        <v/>
      </c>
      <c r="BG13" s="77">
        <f>BG6*BG12 + ($AV$5*'Cancel Curves'!$M$12 + $AW$5*'Cancel Curves'!$L$12 + $AX$5*'Cancel Curves'!$K$12 + $AY$5*'Cancel Curves'!$J$12 + $AZ$5*'Cancel Curves'!$I$12 + $BA$5*'Cancel Curves'!$H$12 + $BB$5*'Cancel Curves'!$G$12 + $BC$5*'Cancel Curves'!$F$12 + $BD$5*'Cancel Curves'!$E$12 + $BE$5*'Cancel Curves'!$D$12 + $BF$5*'Cancel Curves'!$C$12 + $BG$5*'Cancel Curves'!$B$12)*Assumptions!$B$76</f>
        <v/>
      </c>
      <c r="BH13" s="77">
        <f>BH6*BH12 + ($AW$5*'Cancel Curves'!$M$12 + $AX$5*'Cancel Curves'!$L$12 + $AY$5*'Cancel Curves'!$K$12 + $AZ$5*'Cancel Curves'!$J$12 + $BA$5*'Cancel Curves'!$I$12 + $BB$5*'Cancel Curves'!$H$12 + $BC$5*'Cancel Curves'!$G$12 + $BD$5*'Cancel Curves'!$F$12 + $BE$5*'Cancel Curves'!$E$12 + $BF$5*'Cancel Curves'!$D$12 + $BG$5*'Cancel Curves'!$C$12 + $BH$5*'Cancel Curves'!$B$12)*Assumptions!$B$76</f>
        <v/>
      </c>
      <c r="BI13" s="77">
        <f>BI6*BI12 + ($AX$5*'Cancel Curves'!$M$12 + $AY$5*'Cancel Curves'!$L$12 + $AZ$5*'Cancel Curves'!$K$12 + $BA$5*'Cancel Curves'!$J$12 + $BB$5*'Cancel Curves'!$I$12 + $BC$5*'Cancel Curves'!$H$12 + $BD$5*'Cancel Curves'!$G$12 + $BE$5*'Cancel Curves'!$F$12 + $BF$5*'Cancel Curves'!$E$12 + $BG$5*'Cancel Curves'!$D$12 + $BH$5*'Cancel Curves'!$C$12 + $BI$5*'Cancel Curves'!$B$12)*Assumptions!$B$76</f>
        <v/>
      </c>
      <c r="BJ13" s="77">
        <f>BJ6*BJ12 + ($AY$5*'Cancel Curves'!$M$12 + $AZ$5*'Cancel Curves'!$L$12 + $BA$5*'Cancel Curves'!$K$12 + $BB$5*'Cancel Curves'!$J$12 + $BC$5*'Cancel Curves'!$I$12 + $BD$5*'Cancel Curves'!$H$12 + $BE$5*'Cancel Curves'!$G$12 + $BF$5*'Cancel Curves'!$F$12 + $BG$5*'Cancel Curves'!$E$12 + $BH$5*'Cancel Curves'!$D$12 + $BI$5*'Cancel Curves'!$C$12 + $BJ$5*'Cancel Curves'!$B$12)*Assumptions!$B$76</f>
        <v/>
      </c>
      <c r="BK13" s="77">
        <f>BK6*BK12 + ($AZ$5*'Cancel Curves'!$M$12 + $BA$5*'Cancel Curves'!$L$12 + $BB$5*'Cancel Curves'!$K$12 + $BC$5*'Cancel Curves'!$J$12 + $BD$5*'Cancel Curves'!$I$12 + $BE$5*'Cancel Curves'!$H$12 + $BF$5*'Cancel Curves'!$G$12 + $BG$5*'Cancel Curves'!$F$12 + $BH$5*'Cancel Curves'!$E$12 + $BI$5*'Cancel Curves'!$D$12 + $BJ$5*'Cancel Curves'!$C$12 + $BK$5*'Cancel Curves'!$B$12)*Assumptions!$B$76</f>
        <v/>
      </c>
      <c r="BL13" s="77">
        <f>BL6*BL12 + ($BA$5*'Cancel Curves'!$M$12 + $BB$5*'Cancel Curves'!$L$12 + $BC$5*'Cancel Curves'!$K$12 + $BD$5*'Cancel Curves'!$J$12 + $BE$5*'Cancel Curves'!$I$12 + $BF$5*'Cancel Curves'!$H$12 + $BG$5*'Cancel Curves'!$G$12 + $BH$5*'Cancel Curves'!$F$12 + $BI$5*'Cancel Curves'!$E$12 + $BJ$5*'Cancel Curves'!$D$12 + $BK$5*'Cancel Curves'!$C$12 + $BL$5*'Cancel Curves'!$B$12)*Assumptions!$B$76</f>
        <v/>
      </c>
      <c r="BM13" s="77">
        <f>BM6*BM12 + ($BB$5*'Cancel Curves'!$M$12 + $BC$5*'Cancel Curves'!$L$12 + $BD$5*'Cancel Curves'!$K$12 + $BE$5*'Cancel Curves'!$J$12 + $BF$5*'Cancel Curves'!$I$12 + $BG$5*'Cancel Curves'!$H$12 + $BH$5*'Cancel Curves'!$G$12 + $BI$5*'Cancel Curves'!$F$12 + $BJ$5*'Cancel Curves'!$E$12 + $BK$5*'Cancel Curves'!$D$12 + $BL$5*'Cancel Curves'!$C$12 + $BM$5*'Cancel Curves'!$B$12)*Assumptions!$B$76</f>
        <v/>
      </c>
      <c r="BN13" s="77">
        <f>BN6*BN12 + ($BC$5*'Cancel Curves'!$M$12 + $BD$5*'Cancel Curves'!$L$12 + $BE$5*'Cancel Curves'!$K$12 + $BF$5*'Cancel Curves'!$J$12 + $BG$5*'Cancel Curves'!$I$12 + $BH$5*'Cancel Curves'!$H$12 + $BI$5*'Cancel Curves'!$G$12 + $BJ$5*'Cancel Curves'!$F$12 + $BK$5*'Cancel Curves'!$E$12 + $BL$5*'Cancel Curves'!$D$12 + $BM$5*'Cancel Curves'!$C$12 + $BN$5*'Cancel Curves'!$B$12)*Assumptions!$B$76</f>
        <v/>
      </c>
      <c r="BO13" s="77">
        <f>BO6*BO12 + ($BD$5*'Cancel Curves'!$M$12 + $BE$5*'Cancel Curves'!$L$12 + $BF$5*'Cancel Curves'!$K$12 + $BG$5*'Cancel Curves'!$J$12 + $BH$5*'Cancel Curves'!$I$12 + $BI$5*'Cancel Curves'!$H$12 + $BJ$5*'Cancel Curves'!$G$12 + $BK$5*'Cancel Curves'!$F$12 + $BL$5*'Cancel Curves'!$E$12 + $BM$5*'Cancel Curves'!$D$12 + $BN$5*'Cancel Curves'!$C$12 + $BO$5*'Cancel Curves'!$B$12)*Assumptions!$B$76</f>
        <v/>
      </c>
      <c r="BP13" s="77">
        <f>BP6*BP12 + ($BE$5*'Cancel Curves'!$M$12 + $BF$5*'Cancel Curves'!$L$12 + $BG$5*'Cancel Curves'!$K$12 + $BH$5*'Cancel Curves'!$J$12 + $BI$5*'Cancel Curves'!$I$12 + $BJ$5*'Cancel Curves'!$H$12 + $BK$5*'Cancel Curves'!$G$12 + $BL$5*'Cancel Curves'!$F$12 + $BM$5*'Cancel Curves'!$E$12 + $BN$5*'Cancel Curves'!$D$12 + $BO$5*'Cancel Curves'!$C$12 + $BP$5*'Cancel Curves'!$B$12)*Assumptions!$B$76</f>
        <v/>
      </c>
      <c r="BQ13" s="77">
        <f>BQ6*BQ12 + ($BF$5*'Cancel Curves'!$M$12 + $BG$5*'Cancel Curves'!$L$12 + $BH$5*'Cancel Curves'!$K$12 + $BI$5*'Cancel Curves'!$J$12 + $BJ$5*'Cancel Curves'!$I$12 + $BK$5*'Cancel Curves'!$H$12 + $BL$5*'Cancel Curves'!$G$12 + $BM$5*'Cancel Curves'!$F$12 + $BN$5*'Cancel Curves'!$E$12 + $BO$5*'Cancel Curves'!$D$12 + $BP$5*'Cancel Curves'!$C$12 + $BQ$5*'Cancel Curves'!$B$12)*Assumptions!$B$76</f>
        <v/>
      </c>
      <c r="BR13" s="77">
        <f>BR6*BR12 + ($BG$5*'Cancel Curves'!$M$12 + $BH$5*'Cancel Curves'!$L$12 + $BI$5*'Cancel Curves'!$K$12 + $BJ$5*'Cancel Curves'!$J$12 + $BK$5*'Cancel Curves'!$I$12 + $BL$5*'Cancel Curves'!$H$12 + $BM$5*'Cancel Curves'!$G$12 + $BN$5*'Cancel Curves'!$F$12 + $BO$5*'Cancel Curves'!$E$12 + $BP$5*'Cancel Curves'!$D$12 + $BQ$5*'Cancel Curves'!$C$12 + $BR$5*'Cancel Curves'!$B$12)*Assumptions!$B$76</f>
        <v/>
      </c>
      <c r="BS13" s="77">
        <f>BS6*BS12 + ($BH$5*'Cancel Curves'!$M$12 + $BI$5*'Cancel Curves'!$L$12 + $BJ$5*'Cancel Curves'!$K$12 + $BK$5*'Cancel Curves'!$J$12 + $BL$5*'Cancel Curves'!$I$12 + $BM$5*'Cancel Curves'!$H$12 + $BN$5*'Cancel Curves'!$G$12 + $BO$5*'Cancel Curves'!$F$12 + $BP$5*'Cancel Curves'!$E$12 + $BQ$5*'Cancel Curves'!$D$12 + $BR$5*'Cancel Curves'!$C$12 + $BS$5*'Cancel Curves'!$B$12)*Assumptions!$B$76</f>
        <v/>
      </c>
      <c r="BT13" s="77">
        <f>BT6*BT12 + ($BI$5*'Cancel Curves'!$M$12 + $BJ$5*'Cancel Curves'!$L$12 + $BK$5*'Cancel Curves'!$K$12 + $BL$5*'Cancel Curves'!$J$12 + $BM$5*'Cancel Curves'!$I$12 + $BN$5*'Cancel Curves'!$H$12 + $BO$5*'Cancel Curves'!$G$12 + $BP$5*'Cancel Curves'!$F$12 + $BQ$5*'Cancel Curves'!$E$12 + $BR$5*'Cancel Curves'!$D$12 + $BS$5*'Cancel Curves'!$C$12 + $BT$5*'Cancel Curves'!$B$12)*Assumptions!$B$76</f>
        <v/>
      </c>
      <c r="BU13" s="77">
        <f>BU6*BU12 + ($BJ$5*'Cancel Curves'!$M$12 + $BK$5*'Cancel Curves'!$L$12 + $BL$5*'Cancel Curves'!$K$12 + $BM$5*'Cancel Curves'!$J$12 + $BN$5*'Cancel Curves'!$I$12 + $BO$5*'Cancel Curves'!$H$12 + $BP$5*'Cancel Curves'!$G$12 + $BQ$5*'Cancel Curves'!$F$12 + $BR$5*'Cancel Curves'!$E$12 + $BS$5*'Cancel Curves'!$D$12 + $BT$5*'Cancel Curves'!$C$12 + $BU$5*'Cancel Curves'!$B$12)*Assumptions!$B$76</f>
        <v/>
      </c>
      <c r="BV13" s="77">
        <f>BV6*BV12 + ($BK$5*'Cancel Curves'!$M$12 + $BL$5*'Cancel Curves'!$L$12 + $BM$5*'Cancel Curves'!$K$12 + $BN$5*'Cancel Curves'!$J$12 + $BO$5*'Cancel Curves'!$I$12 + $BP$5*'Cancel Curves'!$H$12 + $BQ$5*'Cancel Curves'!$G$12 + $BR$5*'Cancel Curves'!$F$12 + $BS$5*'Cancel Curves'!$E$12 + $BT$5*'Cancel Curves'!$D$12 + $BU$5*'Cancel Curves'!$C$12 + $BV$5*'Cancel Curves'!$B$12)*Assumptions!$B$76</f>
        <v/>
      </c>
      <c r="BW13" s="77">
        <f>BW6*BW12 + ($BL$5*'Cancel Curves'!$M$12 + $BM$5*'Cancel Curves'!$L$12 + $BN$5*'Cancel Curves'!$K$12 + $BO$5*'Cancel Curves'!$J$12 + $BP$5*'Cancel Curves'!$I$12 + $BQ$5*'Cancel Curves'!$H$12 + $BR$5*'Cancel Curves'!$G$12 + $BS$5*'Cancel Curves'!$F$12 + $BT$5*'Cancel Curves'!$E$12 + $BU$5*'Cancel Curves'!$D$12 + $BV$5*'Cancel Curves'!$C$12 + $BW$5*'Cancel Curves'!$B$12)*Assumptions!$B$76</f>
        <v/>
      </c>
    </row>
    <row r="14">
      <c r="A14" t="inlineStr">
        <is>
          <t>Initiation fee (new contracts × IAA)</t>
        </is>
      </c>
      <c r="D14" s="17">
        <f>D5*Assumptions!$B$32</f>
        <v/>
      </c>
      <c r="E14" s="17">
        <f>E5*Assumptions!$B$32</f>
        <v/>
      </c>
      <c r="F14" s="17">
        <f>F5*Assumptions!$B$32</f>
        <v/>
      </c>
      <c r="G14" s="17">
        <f>G5*Assumptions!$B$32</f>
        <v/>
      </c>
      <c r="H14" s="17">
        <f>H5*Assumptions!$B$32</f>
        <v/>
      </c>
      <c r="I14" s="17">
        <f>I5*Assumptions!$B$32</f>
        <v/>
      </c>
      <c r="J14" s="17">
        <f>J5*Assumptions!$B$32</f>
        <v/>
      </c>
      <c r="K14" s="17">
        <f>K5*Assumptions!$B$32</f>
        <v/>
      </c>
      <c r="L14" s="17">
        <f>L5*Assumptions!$B$32</f>
        <v/>
      </c>
      <c r="M14" s="17">
        <f>M5*Assumptions!$B$32</f>
        <v/>
      </c>
      <c r="N14" s="17">
        <f>N5*Assumptions!$B$32</f>
        <v/>
      </c>
      <c r="O14" s="17">
        <f>O5*Assumptions!$B$32</f>
        <v/>
      </c>
      <c r="P14" s="17">
        <f>P5*Assumptions!$B$32</f>
        <v/>
      </c>
      <c r="Q14" s="17">
        <f>Q5*Assumptions!$B$32</f>
        <v/>
      </c>
      <c r="R14" s="17">
        <f>R5*Assumptions!$B$32</f>
        <v/>
      </c>
      <c r="S14" s="17">
        <f>S5*Assumptions!$B$32</f>
        <v/>
      </c>
      <c r="T14" s="17">
        <f>T5*Assumptions!$B$32</f>
        <v/>
      </c>
      <c r="U14" s="17">
        <f>U5*Assumptions!$B$32</f>
        <v/>
      </c>
      <c r="V14" s="17">
        <f>V5*Assumptions!$B$32</f>
        <v/>
      </c>
      <c r="W14" s="17">
        <f>W5*Assumptions!$B$32</f>
        <v/>
      </c>
      <c r="X14" s="17">
        <f>X5*Assumptions!$B$32</f>
        <v/>
      </c>
      <c r="Y14" s="17">
        <f>Y5*Assumptions!$B$32</f>
        <v/>
      </c>
      <c r="Z14" s="17">
        <f>Z5*Assumptions!$B$32</f>
        <v/>
      </c>
      <c r="AA14" s="17">
        <f>AA5*Assumptions!$B$32</f>
        <v/>
      </c>
      <c r="AB14" s="17">
        <f>AB5*Assumptions!$B$32</f>
        <v/>
      </c>
      <c r="AC14" s="17">
        <f>AC5*Assumptions!$B$32</f>
        <v/>
      </c>
      <c r="AD14" s="17">
        <f>AD5*Assumptions!$B$32</f>
        <v/>
      </c>
      <c r="AE14" s="17">
        <f>AE5*Assumptions!$B$32</f>
        <v/>
      </c>
      <c r="AF14" s="17">
        <f>AF5*Assumptions!$B$32</f>
        <v/>
      </c>
      <c r="AG14" s="17">
        <f>AG5*Assumptions!$B$32</f>
        <v/>
      </c>
      <c r="AH14" s="17">
        <f>AH5*Assumptions!$B$32</f>
        <v/>
      </c>
      <c r="AI14" s="17">
        <f>AI5*Assumptions!$B$32</f>
        <v/>
      </c>
      <c r="AJ14" s="17">
        <f>AJ5*Assumptions!$B$32</f>
        <v/>
      </c>
      <c r="AK14" s="17">
        <f>AK5*Assumptions!$B$32</f>
        <v/>
      </c>
      <c r="AL14" s="17">
        <f>AL5*Assumptions!$B$32</f>
        <v/>
      </c>
      <c r="AM14" s="17">
        <f>AM5*Assumptions!$B$32</f>
        <v/>
      </c>
      <c r="AN14" s="17">
        <f>AN5*Assumptions!$B$32</f>
        <v/>
      </c>
      <c r="AO14" s="17">
        <f>AO5*Assumptions!$B$32</f>
        <v/>
      </c>
      <c r="AP14" s="17">
        <f>AP5*Assumptions!$B$32</f>
        <v/>
      </c>
      <c r="AQ14" s="17">
        <f>AQ5*Assumptions!$B$32</f>
        <v/>
      </c>
      <c r="AR14" s="17">
        <f>AR5*Assumptions!$B$32</f>
        <v/>
      </c>
      <c r="AS14" s="17">
        <f>AS5*Assumptions!$B$32</f>
        <v/>
      </c>
      <c r="AT14" s="17">
        <f>AT5*Assumptions!$B$32</f>
        <v/>
      </c>
      <c r="AU14" s="17">
        <f>AU5*Assumptions!$B$32</f>
        <v/>
      </c>
      <c r="AV14" s="17">
        <f>AV5*Assumptions!$B$32</f>
        <v/>
      </c>
      <c r="AW14" s="17">
        <f>AW5*Assumptions!$B$32</f>
        <v/>
      </c>
      <c r="AX14" s="17">
        <f>AX5*Assumptions!$B$32</f>
        <v/>
      </c>
      <c r="AY14" s="17">
        <f>AY5*Assumptions!$B$32</f>
        <v/>
      </c>
      <c r="AZ14" s="17">
        <f>AZ5*Assumptions!$B$32</f>
        <v/>
      </c>
      <c r="BA14" s="17">
        <f>BA5*Assumptions!$B$32</f>
        <v/>
      </c>
      <c r="BB14" s="17">
        <f>BB5*Assumptions!$B$32</f>
        <v/>
      </c>
      <c r="BC14" s="17">
        <f>BC5*Assumptions!$B$32</f>
        <v/>
      </c>
      <c r="BD14" s="17">
        <f>BD5*Assumptions!$B$32</f>
        <v/>
      </c>
      <c r="BE14" s="17">
        <f>BE5*Assumptions!$B$32</f>
        <v/>
      </c>
      <c r="BF14" s="17">
        <f>BF5*Assumptions!$B$32</f>
        <v/>
      </c>
      <c r="BG14" s="17">
        <f>BG5*Assumptions!$B$32</f>
        <v/>
      </c>
      <c r="BH14" s="17">
        <f>BH5*Assumptions!$B$32</f>
        <v/>
      </c>
      <c r="BI14" s="17">
        <f>BI5*Assumptions!$B$32</f>
        <v/>
      </c>
      <c r="BJ14" s="17">
        <f>BJ5*Assumptions!$B$32</f>
        <v/>
      </c>
      <c r="BK14" s="17">
        <f>BK5*Assumptions!$B$32</f>
        <v/>
      </c>
      <c r="BL14" s="17">
        <f>BL5*Assumptions!$B$32</f>
        <v/>
      </c>
      <c r="BM14" s="17">
        <f>BM5*Assumptions!$B$32</f>
        <v/>
      </c>
      <c r="BN14" s="17">
        <f>BN5*Assumptions!$B$32</f>
        <v/>
      </c>
      <c r="BO14" s="17">
        <f>BO5*Assumptions!$B$32</f>
        <v/>
      </c>
      <c r="BP14" s="17">
        <f>BP5*Assumptions!$B$32</f>
        <v/>
      </c>
      <c r="BQ14" s="17">
        <f>BQ5*Assumptions!$B$32</f>
        <v/>
      </c>
      <c r="BR14" s="17">
        <f>BR5*Assumptions!$B$32</f>
        <v/>
      </c>
      <c r="BS14" s="17">
        <f>BS5*Assumptions!$B$32</f>
        <v/>
      </c>
      <c r="BT14" s="17">
        <f>BT5*Assumptions!$B$32</f>
        <v/>
      </c>
      <c r="BU14" s="17">
        <f>BU5*Assumptions!$B$32</f>
        <v/>
      </c>
      <c r="BV14" s="17">
        <f>BV5*Assumptions!$B$32</f>
        <v/>
      </c>
      <c r="BW14" s="17">
        <f>BW5*Assumptions!$B$32</f>
        <v/>
      </c>
    </row>
    <row r="15">
      <c r="A15" s="1" t="inlineStr">
        <is>
          <t>Total revenue</t>
        </is>
      </c>
      <c r="D15" s="28">
        <f>D13+D14</f>
        <v/>
      </c>
      <c r="E15" s="28">
        <f>E13+E14</f>
        <v/>
      </c>
      <c r="F15" s="28">
        <f>F13+F14</f>
        <v/>
      </c>
      <c r="G15" s="28">
        <f>G13+G14</f>
        <v/>
      </c>
      <c r="H15" s="28">
        <f>H13+H14</f>
        <v/>
      </c>
      <c r="I15" s="28">
        <f>I13+I14</f>
        <v/>
      </c>
      <c r="J15" s="28">
        <f>J13+J14</f>
        <v/>
      </c>
      <c r="K15" s="28">
        <f>K13+K14</f>
        <v/>
      </c>
      <c r="L15" s="28">
        <f>L13+L14</f>
        <v/>
      </c>
      <c r="M15" s="28">
        <f>M13+M14</f>
        <v/>
      </c>
      <c r="N15" s="28">
        <f>N13+N14</f>
        <v/>
      </c>
      <c r="O15" s="28">
        <f>O13+O14</f>
        <v/>
      </c>
      <c r="P15" s="28">
        <f>P13+P14</f>
        <v/>
      </c>
      <c r="Q15" s="28">
        <f>Q13+Q14</f>
        <v/>
      </c>
      <c r="R15" s="28">
        <f>R13+R14</f>
        <v/>
      </c>
      <c r="S15" s="28">
        <f>S13+S14</f>
        <v/>
      </c>
      <c r="T15" s="28">
        <f>T13+T14</f>
        <v/>
      </c>
      <c r="U15" s="28">
        <f>U13+U14</f>
        <v/>
      </c>
      <c r="V15" s="28">
        <f>V13+V14</f>
        <v/>
      </c>
      <c r="W15" s="28">
        <f>W13+W14</f>
        <v/>
      </c>
      <c r="X15" s="28">
        <f>X13+X14</f>
        <v/>
      </c>
      <c r="Y15" s="28">
        <f>Y13+Y14</f>
        <v/>
      </c>
      <c r="Z15" s="28">
        <f>Z13+Z14</f>
        <v/>
      </c>
      <c r="AA15" s="28">
        <f>AA13+AA14</f>
        <v/>
      </c>
      <c r="AB15" s="28">
        <f>AB13+AB14</f>
        <v/>
      </c>
      <c r="AC15" s="28">
        <f>AC13+AC14</f>
        <v/>
      </c>
      <c r="AD15" s="28">
        <f>AD13+AD14</f>
        <v/>
      </c>
      <c r="AE15" s="28">
        <f>AE13+AE14</f>
        <v/>
      </c>
      <c r="AF15" s="28">
        <f>AF13+AF14</f>
        <v/>
      </c>
      <c r="AG15" s="28">
        <f>AG13+AG14</f>
        <v/>
      </c>
      <c r="AH15" s="28">
        <f>AH13+AH14</f>
        <v/>
      </c>
      <c r="AI15" s="28">
        <f>AI13+AI14</f>
        <v/>
      </c>
      <c r="AJ15" s="28">
        <f>AJ13+AJ14</f>
        <v/>
      </c>
      <c r="AK15" s="28">
        <f>AK13+AK14</f>
        <v/>
      </c>
      <c r="AL15" s="28">
        <f>AL13+AL14</f>
        <v/>
      </c>
      <c r="AM15" s="28">
        <f>AM13+AM14</f>
        <v/>
      </c>
      <c r="AN15" s="28">
        <f>AN13+AN14</f>
        <v/>
      </c>
      <c r="AO15" s="28">
        <f>AO13+AO14</f>
        <v/>
      </c>
      <c r="AP15" s="28">
        <f>AP13+AP14</f>
        <v/>
      </c>
      <c r="AQ15" s="28">
        <f>AQ13+AQ14</f>
        <v/>
      </c>
      <c r="AR15" s="28">
        <f>AR13+AR14</f>
        <v/>
      </c>
      <c r="AS15" s="28">
        <f>AS13+AS14</f>
        <v/>
      </c>
      <c r="AT15" s="28">
        <f>AT13+AT14</f>
        <v/>
      </c>
      <c r="AU15" s="28">
        <f>AU13+AU14</f>
        <v/>
      </c>
      <c r="AV15" s="28">
        <f>AV13+AV14</f>
        <v/>
      </c>
      <c r="AW15" s="28">
        <f>AW13+AW14</f>
        <v/>
      </c>
      <c r="AX15" s="28">
        <f>AX13+AX14</f>
        <v/>
      </c>
      <c r="AY15" s="28">
        <f>AY13+AY14</f>
        <v/>
      </c>
      <c r="AZ15" s="28">
        <f>AZ13+AZ14</f>
        <v/>
      </c>
      <c r="BA15" s="28">
        <f>BA13+BA14</f>
        <v/>
      </c>
      <c r="BB15" s="28">
        <f>BB13+BB14</f>
        <v/>
      </c>
      <c r="BC15" s="28">
        <f>BC13+BC14</f>
        <v/>
      </c>
      <c r="BD15" s="28">
        <f>BD13+BD14</f>
        <v/>
      </c>
      <c r="BE15" s="28">
        <f>BE13+BE14</f>
        <v/>
      </c>
      <c r="BF15" s="28">
        <f>BF13+BF14</f>
        <v/>
      </c>
      <c r="BG15" s="28">
        <f>BG13+BG14</f>
        <v/>
      </c>
      <c r="BH15" s="28">
        <f>BH13+BH14</f>
        <v/>
      </c>
      <c r="BI15" s="28">
        <f>BI13+BI14</f>
        <v/>
      </c>
      <c r="BJ15" s="28">
        <f>BJ13+BJ14</f>
        <v/>
      </c>
      <c r="BK15" s="28">
        <f>BK13+BK14</f>
        <v/>
      </c>
      <c r="BL15" s="28">
        <f>BL13+BL14</f>
        <v/>
      </c>
      <c r="BM15" s="28">
        <f>BM13+BM14</f>
        <v/>
      </c>
      <c r="BN15" s="28">
        <f>BN13+BN14</f>
        <v/>
      </c>
      <c r="BO15" s="28">
        <f>BO13+BO14</f>
        <v/>
      </c>
      <c r="BP15" s="28">
        <f>BP13+BP14</f>
        <v/>
      </c>
      <c r="BQ15" s="28">
        <f>BQ13+BQ14</f>
        <v/>
      </c>
      <c r="BR15" s="28">
        <f>BR13+BR14</f>
        <v/>
      </c>
      <c r="BS15" s="28">
        <f>BS13+BS14</f>
        <v/>
      </c>
      <c r="BT15" s="28">
        <f>BT13+BT14</f>
        <v/>
      </c>
      <c r="BU15" s="28">
        <f>BU13+BU14</f>
        <v/>
      </c>
      <c r="BV15" s="28">
        <f>BV13+BV14</f>
        <v/>
      </c>
      <c r="BW15" s="28">
        <f>BW13+BW14</f>
        <v/>
      </c>
    </row>
    <row r="17">
      <c r="A17" s="97" t="inlineStr">
        <is>
          <t>COST OF SERVICE</t>
        </is>
      </c>
    </row>
    <row r="18">
      <c r="A18" t="inlineStr">
        <is>
          <t>Claims expense (active × claims reserve / 12)</t>
        </is>
      </c>
      <c r="D18" s="17">
        <f>IF(1&lt;Assumptions!$B$25,0,D6*Assumptions!$B$24/12)</f>
        <v/>
      </c>
      <c r="E18" s="17">
        <f>IF(2&lt;Assumptions!$B$25,0,E6*Assumptions!$B$24/12)</f>
        <v/>
      </c>
      <c r="F18" s="17">
        <f>IF(3&lt;Assumptions!$B$25,0,F6*Assumptions!$B$24/12)</f>
        <v/>
      </c>
      <c r="G18" s="17">
        <f>IF(4&lt;Assumptions!$B$25,0,G6*Assumptions!$B$24/12)</f>
        <v/>
      </c>
      <c r="H18" s="17">
        <f>IF(5&lt;Assumptions!$B$25,0,H6*Assumptions!$B$24/12)</f>
        <v/>
      </c>
      <c r="I18" s="17">
        <f>IF(6&lt;Assumptions!$B$25,0,I6*Assumptions!$B$24/12)</f>
        <v/>
      </c>
      <c r="J18" s="17">
        <f>IF(7&lt;Assumptions!$B$25,0,J6*Assumptions!$B$24/12)</f>
        <v/>
      </c>
      <c r="K18" s="17">
        <f>IF(8&lt;Assumptions!$B$25,0,K6*Assumptions!$B$24/12)</f>
        <v/>
      </c>
      <c r="L18" s="17">
        <f>IF(9&lt;Assumptions!$B$25,0,L6*Assumptions!$B$24/12)</f>
        <v/>
      </c>
      <c r="M18" s="17">
        <f>IF(10&lt;Assumptions!$B$25,0,M6*Assumptions!$B$24/12)</f>
        <v/>
      </c>
      <c r="N18" s="17">
        <f>IF(11&lt;Assumptions!$B$25,0,N6*Assumptions!$B$24/12)</f>
        <v/>
      </c>
      <c r="O18" s="17">
        <f>IF(12&lt;Assumptions!$B$25,0,O6*Assumptions!$B$24/12)</f>
        <v/>
      </c>
      <c r="P18" s="17">
        <f>IF(13&lt;Assumptions!$B$25,0,P6*Assumptions!$B$24/12)</f>
        <v/>
      </c>
      <c r="Q18" s="17">
        <f>IF(14&lt;Assumptions!$B$25,0,Q6*Assumptions!$B$24/12)</f>
        <v/>
      </c>
      <c r="R18" s="17">
        <f>IF(15&lt;Assumptions!$B$25,0,R6*Assumptions!$B$24/12)</f>
        <v/>
      </c>
      <c r="S18" s="17">
        <f>IF(16&lt;Assumptions!$B$25,0,S6*Assumptions!$B$24/12)</f>
        <v/>
      </c>
      <c r="T18" s="17">
        <f>IF(17&lt;Assumptions!$B$25,0,T6*Assumptions!$B$24/12)</f>
        <v/>
      </c>
      <c r="U18" s="17">
        <f>IF(18&lt;Assumptions!$B$25,0,U6*Assumptions!$B$24/12)</f>
        <v/>
      </c>
      <c r="V18" s="17">
        <f>IF(19&lt;Assumptions!$B$25,0,V6*Assumptions!$B$24/12)</f>
        <v/>
      </c>
      <c r="W18" s="17">
        <f>IF(20&lt;Assumptions!$B$25,0,W6*Assumptions!$B$24/12)</f>
        <v/>
      </c>
      <c r="X18" s="17">
        <f>IF(21&lt;Assumptions!$B$25,0,X6*Assumptions!$B$24/12)</f>
        <v/>
      </c>
      <c r="Y18" s="17">
        <f>IF(22&lt;Assumptions!$B$25,0,Y6*Assumptions!$B$24/12)</f>
        <v/>
      </c>
      <c r="Z18" s="17">
        <f>IF(23&lt;Assumptions!$B$25,0,Z6*Assumptions!$B$24/12)</f>
        <v/>
      </c>
      <c r="AA18" s="17">
        <f>IF(24&lt;Assumptions!$B$25,0,AA6*Assumptions!$B$24/12)</f>
        <v/>
      </c>
      <c r="AB18" s="17">
        <f>IF(25&lt;Assumptions!$B$25,0,AB6*Assumptions!$B$24/12)</f>
        <v/>
      </c>
      <c r="AC18" s="17">
        <f>IF(26&lt;Assumptions!$B$25,0,AC6*Assumptions!$B$24/12)</f>
        <v/>
      </c>
      <c r="AD18" s="17">
        <f>IF(27&lt;Assumptions!$B$25,0,AD6*Assumptions!$B$24/12)</f>
        <v/>
      </c>
      <c r="AE18" s="17">
        <f>IF(28&lt;Assumptions!$B$25,0,AE6*Assumptions!$B$24/12)</f>
        <v/>
      </c>
      <c r="AF18" s="17">
        <f>IF(29&lt;Assumptions!$B$25,0,AF6*Assumptions!$B$24/12)</f>
        <v/>
      </c>
      <c r="AG18" s="17">
        <f>IF(30&lt;Assumptions!$B$25,0,AG6*Assumptions!$B$24/12)</f>
        <v/>
      </c>
      <c r="AH18" s="17">
        <f>IF(31&lt;Assumptions!$B$25,0,AH6*Assumptions!$B$24/12)</f>
        <v/>
      </c>
      <c r="AI18" s="17">
        <f>IF(32&lt;Assumptions!$B$25,0,AI6*Assumptions!$B$24/12)</f>
        <v/>
      </c>
      <c r="AJ18" s="17">
        <f>IF(33&lt;Assumptions!$B$25,0,AJ6*Assumptions!$B$24/12)</f>
        <v/>
      </c>
      <c r="AK18" s="17">
        <f>IF(34&lt;Assumptions!$B$25,0,AK6*Assumptions!$B$24/12)</f>
        <v/>
      </c>
      <c r="AL18" s="17">
        <f>IF(35&lt;Assumptions!$B$25,0,AL6*Assumptions!$B$24/12)</f>
        <v/>
      </c>
      <c r="AM18" s="17">
        <f>IF(36&lt;Assumptions!$B$25,0,AM6*Assumptions!$B$24/12)</f>
        <v/>
      </c>
      <c r="AN18" s="17">
        <f>IF(37&lt;Assumptions!$B$25,0,AN6*Assumptions!$B$24/12)</f>
        <v/>
      </c>
      <c r="AO18" s="17">
        <f>IF(38&lt;Assumptions!$B$25,0,AO6*Assumptions!$B$24/12)</f>
        <v/>
      </c>
      <c r="AP18" s="17">
        <f>IF(39&lt;Assumptions!$B$25,0,AP6*Assumptions!$B$24/12)</f>
        <v/>
      </c>
      <c r="AQ18" s="17">
        <f>IF(40&lt;Assumptions!$B$25,0,AQ6*Assumptions!$B$24/12)</f>
        <v/>
      </c>
      <c r="AR18" s="17">
        <f>IF(41&lt;Assumptions!$B$25,0,AR6*Assumptions!$B$24/12)</f>
        <v/>
      </c>
      <c r="AS18" s="17">
        <f>IF(42&lt;Assumptions!$B$25,0,AS6*Assumptions!$B$24/12)</f>
        <v/>
      </c>
      <c r="AT18" s="17">
        <f>IF(43&lt;Assumptions!$B$25,0,AT6*Assumptions!$B$24/12)</f>
        <v/>
      </c>
      <c r="AU18" s="17">
        <f>IF(44&lt;Assumptions!$B$25,0,AU6*Assumptions!$B$24/12)</f>
        <v/>
      </c>
      <c r="AV18" s="17">
        <f>IF(45&lt;Assumptions!$B$25,0,AV6*Assumptions!$B$24/12)</f>
        <v/>
      </c>
      <c r="AW18" s="17">
        <f>IF(46&lt;Assumptions!$B$25,0,AW6*Assumptions!$B$24/12)</f>
        <v/>
      </c>
      <c r="AX18" s="17">
        <f>IF(47&lt;Assumptions!$B$25,0,AX6*Assumptions!$B$24/12)</f>
        <v/>
      </c>
      <c r="AY18" s="17">
        <f>IF(48&lt;Assumptions!$B$25,0,AY6*Assumptions!$B$24/12)</f>
        <v/>
      </c>
      <c r="AZ18" s="17">
        <f>IF(49&lt;Assumptions!$B$25,0,AZ6*Assumptions!$B$24/12)</f>
        <v/>
      </c>
      <c r="BA18" s="17">
        <f>IF(50&lt;Assumptions!$B$25,0,BA6*Assumptions!$B$24/12)</f>
        <v/>
      </c>
      <c r="BB18" s="17">
        <f>IF(51&lt;Assumptions!$B$25,0,BB6*Assumptions!$B$24/12)</f>
        <v/>
      </c>
      <c r="BC18" s="17">
        <f>IF(52&lt;Assumptions!$B$25,0,BC6*Assumptions!$B$24/12)</f>
        <v/>
      </c>
      <c r="BD18" s="17">
        <f>IF(53&lt;Assumptions!$B$25,0,BD6*Assumptions!$B$24/12)</f>
        <v/>
      </c>
      <c r="BE18" s="17">
        <f>IF(54&lt;Assumptions!$B$25,0,BE6*Assumptions!$B$24/12)</f>
        <v/>
      </c>
      <c r="BF18" s="17">
        <f>IF(55&lt;Assumptions!$B$25,0,BF6*Assumptions!$B$24/12)</f>
        <v/>
      </c>
      <c r="BG18" s="17">
        <f>IF(56&lt;Assumptions!$B$25,0,BG6*Assumptions!$B$24/12)</f>
        <v/>
      </c>
      <c r="BH18" s="17">
        <f>IF(57&lt;Assumptions!$B$25,0,BH6*Assumptions!$B$24/12)</f>
        <v/>
      </c>
      <c r="BI18" s="17">
        <f>IF(58&lt;Assumptions!$B$25,0,BI6*Assumptions!$B$24/12)</f>
        <v/>
      </c>
      <c r="BJ18" s="17">
        <f>IF(59&lt;Assumptions!$B$25,0,BJ6*Assumptions!$B$24/12)</f>
        <v/>
      </c>
      <c r="BK18" s="17">
        <f>IF(60&lt;Assumptions!$B$25,0,BK6*Assumptions!$B$24/12)</f>
        <v/>
      </c>
      <c r="BL18" s="17">
        <f>IF(61&lt;Assumptions!$B$25,0,BL6*Assumptions!$B$24/12)</f>
        <v/>
      </c>
      <c r="BM18" s="17">
        <f>IF(62&lt;Assumptions!$B$25,0,BM6*Assumptions!$B$24/12)</f>
        <v/>
      </c>
      <c r="BN18" s="17">
        <f>IF(63&lt;Assumptions!$B$25,0,BN6*Assumptions!$B$24/12)</f>
        <v/>
      </c>
      <c r="BO18" s="17">
        <f>IF(64&lt;Assumptions!$B$25,0,BO6*Assumptions!$B$24/12)</f>
        <v/>
      </c>
      <c r="BP18" s="17">
        <f>IF(65&lt;Assumptions!$B$25,0,BP6*Assumptions!$B$24/12)</f>
        <v/>
      </c>
      <c r="BQ18" s="17">
        <f>IF(66&lt;Assumptions!$B$25,0,BQ6*Assumptions!$B$24/12)</f>
        <v/>
      </c>
      <c r="BR18" s="17">
        <f>IF(67&lt;Assumptions!$B$25,0,BR6*Assumptions!$B$24/12)</f>
        <v/>
      </c>
      <c r="BS18" s="17">
        <f>IF(68&lt;Assumptions!$B$25,0,BS6*Assumptions!$B$24/12)</f>
        <v/>
      </c>
      <c r="BT18" s="17">
        <f>IF(69&lt;Assumptions!$B$25,0,BT6*Assumptions!$B$24/12)</f>
        <v/>
      </c>
      <c r="BU18" s="17">
        <f>IF(70&lt;Assumptions!$B$25,0,BU6*Assumptions!$B$24/12)</f>
        <v/>
      </c>
      <c r="BV18" s="17">
        <f>IF(71&lt;Assumptions!$B$25,0,BV6*Assumptions!$B$24/12)</f>
        <v/>
      </c>
      <c r="BW18" s="17">
        <f>IF(72&lt;Assumptions!$B$25,0,BW6*Assumptions!$B$24/12)</f>
        <v/>
      </c>
    </row>
    <row r="19">
      <c r="A19" t="inlineStr">
        <is>
          <t>Contract insurance (Lloyd's premium)</t>
        </is>
      </c>
      <c r="D19" s="17">
        <f>D5*Assumptions!$B$20</f>
        <v/>
      </c>
      <c r="E19" s="17">
        <f>E5*Assumptions!$B$20</f>
        <v/>
      </c>
      <c r="F19" s="17">
        <f>F5*Assumptions!$B$20</f>
        <v/>
      </c>
      <c r="G19" s="17">
        <f>G5*Assumptions!$B$20</f>
        <v/>
      </c>
      <c r="H19" s="17">
        <f>H5*Assumptions!$B$20</f>
        <v/>
      </c>
      <c r="I19" s="17">
        <f>I5*Assumptions!$B$20</f>
        <v/>
      </c>
      <c r="J19" s="17">
        <f>J5*Assumptions!$B$20</f>
        <v/>
      </c>
      <c r="K19" s="17">
        <f>K5*Assumptions!$B$20</f>
        <v/>
      </c>
      <c r="L19" s="17">
        <f>L5*Assumptions!$B$20</f>
        <v/>
      </c>
      <c r="M19" s="17">
        <f>M5*Assumptions!$B$20</f>
        <v/>
      </c>
      <c r="N19" s="17">
        <f>N5*Assumptions!$B$20</f>
        <v/>
      </c>
      <c r="O19" s="17">
        <f>O5*Assumptions!$B$20</f>
        <v/>
      </c>
      <c r="P19" s="17">
        <f>P5*Assumptions!$B$20</f>
        <v/>
      </c>
      <c r="Q19" s="17">
        <f>Q5*Assumptions!$B$20</f>
        <v/>
      </c>
      <c r="R19" s="17">
        <f>R5*Assumptions!$B$20</f>
        <v/>
      </c>
      <c r="S19" s="17">
        <f>S5*Assumptions!$B$20</f>
        <v/>
      </c>
      <c r="T19" s="17">
        <f>T5*Assumptions!$B$20</f>
        <v/>
      </c>
      <c r="U19" s="17">
        <f>U5*Assumptions!$B$20</f>
        <v/>
      </c>
      <c r="V19" s="17">
        <f>V5*Assumptions!$B$20</f>
        <v/>
      </c>
      <c r="W19" s="17">
        <f>W5*Assumptions!$B$20</f>
        <v/>
      </c>
      <c r="X19" s="17">
        <f>X5*Assumptions!$B$20</f>
        <v/>
      </c>
      <c r="Y19" s="17">
        <f>Y5*Assumptions!$B$20</f>
        <v/>
      </c>
      <c r="Z19" s="17">
        <f>Z5*Assumptions!$B$20</f>
        <v/>
      </c>
      <c r="AA19" s="17">
        <f>AA5*Assumptions!$B$20</f>
        <v/>
      </c>
      <c r="AB19" s="17">
        <f>AB5*Assumptions!$B$20</f>
        <v/>
      </c>
      <c r="AC19" s="17">
        <f>AC5*Assumptions!$B$20</f>
        <v/>
      </c>
      <c r="AD19" s="17">
        <f>AD5*Assumptions!$B$20</f>
        <v/>
      </c>
      <c r="AE19" s="17">
        <f>AE5*Assumptions!$B$20</f>
        <v/>
      </c>
      <c r="AF19" s="17">
        <f>AF5*Assumptions!$B$20</f>
        <v/>
      </c>
      <c r="AG19" s="17">
        <f>AG5*Assumptions!$B$20</f>
        <v/>
      </c>
      <c r="AH19" s="17">
        <f>AH5*Assumptions!$B$20</f>
        <v/>
      </c>
      <c r="AI19" s="17">
        <f>AI5*Assumptions!$B$20</f>
        <v/>
      </c>
      <c r="AJ19" s="17">
        <f>AJ5*Assumptions!$B$20</f>
        <v/>
      </c>
      <c r="AK19" s="17">
        <f>AK5*Assumptions!$B$20</f>
        <v/>
      </c>
      <c r="AL19" s="17">
        <f>AL5*Assumptions!$B$20</f>
        <v/>
      </c>
      <c r="AM19" s="17">
        <f>AM5*Assumptions!$B$20</f>
        <v/>
      </c>
      <c r="AN19" s="17">
        <f>AN5*Assumptions!$B$20</f>
        <v/>
      </c>
      <c r="AO19" s="17">
        <f>AO5*Assumptions!$B$20</f>
        <v/>
      </c>
      <c r="AP19" s="17">
        <f>AP5*Assumptions!$B$20</f>
        <v/>
      </c>
      <c r="AQ19" s="17">
        <f>AQ5*Assumptions!$B$20</f>
        <v/>
      </c>
      <c r="AR19" s="17">
        <f>AR5*Assumptions!$B$20</f>
        <v/>
      </c>
      <c r="AS19" s="17">
        <f>AS5*Assumptions!$B$20</f>
        <v/>
      </c>
      <c r="AT19" s="17">
        <f>AT5*Assumptions!$B$20</f>
        <v/>
      </c>
      <c r="AU19" s="17">
        <f>AU5*Assumptions!$B$20</f>
        <v/>
      </c>
      <c r="AV19" s="17">
        <f>AV5*Assumptions!$B$20</f>
        <v/>
      </c>
      <c r="AW19" s="17">
        <f>AW5*Assumptions!$B$20</f>
        <v/>
      </c>
      <c r="AX19" s="17">
        <f>AX5*Assumptions!$B$20</f>
        <v/>
      </c>
      <c r="AY19" s="17">
        <f>AY5*Assumptions!$B$20</f>
        <v/>
      </c>
      <c r="AZ19" s="17">
        <f>AZ5*Assumptions!$B$20</f>
        <v/>
      </c>
      <c r="BA19" s="17">
        <f>BA5*Assumptions!$B$20</f>
        <v/>
      </c>
      <c r="BB19" s="17">
        <f>BB5*Assumptions!$B$20</f>
        <v/>
      </c>
      <c r="BC19" s="17">
        <f>BC5*Assumptions!$B$20</f>
        <v/>
      </c>
      <c r="BD19" s="17">
        <f>BD5*Assumptions!$B$20</f>
        <v/>
      </c>
      <c r="BE19" s="17">
        <f>BE5*Assumptions!$B$20</f>
        <v/>
      </c>
      <c r="BF19" s="17">
        <f>BF5*Assumptions!$B$20</f>
        <v/>
      </c>
      <c r="BG19" s="17">
        <f>BG5*Assumptions!$B$20</f>
        <v/>
      </c>
      <c r="BH19" s="17">
        <f>BH5*Assumptions!$B$20</f>
        <v/>
      </c>
      <c r="BI19" s="17">
        <f>BI5*Assumptions!$B$20</f>
        <v/>
      </c>
      <c r="BJ19" s="17">
        <f>BJ5*Assumptions!$B$20</f>
        <v/>
      </c>
      <c r="BK19" s="17">
        <f>BK5*Assumptions!$B$20</f>
        <v/>
      </c>
      <c r="BL19" s="17">
        <f>BL5*Assumptions!$B$20</f>
        <v/>
      </c>
      <c r="BM19" s="17">
        <f>BM5*Assumptions!$B$20</f>
        <v/>
      </c>
      <c r="BN19" s="17">
        <f>BN5*Assumptions!$B$20</f>
        <v/>
      </c>
      <c r="BO19" s="17">
        <f>BO5*Assumptions!$B$20</f>
        <v/>
      </c>
      <c r="BP19" s="17">
        <f>BP5*Assumptions!$B$20</f>
        <v/>
      </c>
      <c r="BQ19" s="17">
        <f>BQ5*Assumptions!$B$20</f>
        <v/>
      </c>
      <c r="BR19" s="17">
        <f>BR5*Assumptions!$B$20</f>
        <v/>
      </c>
      <c r="BS19" s="17">
        <f>BS5*Assumptions!$B$20</f>
        <v/>
      </c>
      <c r="BT19" s="17">
        <f>BT5*Assumptions!$B$20</f>
        <v/>
      </c>
      <c r="BU19" s="17">
        <f>BU5*Assumptions!$B$20</f>
        <v/>
      </c>
      <c r="BV19" s="17">
        <f>BV5*Assumptions!$B$20</f>
        <v/>
      </c>
      <c r="BW19" s="17">
        <f>BW5*Assumptions!$B$20</f>
        <v/>
      </c>
    </row>
    <row r="20">
      <c r="A20" t="inlineStr">
        <is>
          <t>Finance fees</t>
        </is>
      </c>
      <c r="D20" s="17">
        <f>D6*D12*Assumptions!$B$26</f>
        <v/>
      </c>
      <c r="E20" s="17">
        <f>E6*E12*Assumptions!$B$26</f>
        <v/>
      </c>
      <c r="F20" s="17">
        <f>F6*F12*Assumptions!$B$26</f>
        <v/>
      </c>
      <c r="G20" s="17">
        <f>G6*G12*Assumptions!$B$26</f>
        <v/>
      </c>
      <c r="H20" s="17">
        <f>H6*H12*Assumptions!$B$26</f>
        <v/>
      </c>
      <c r="I20" s="17">
        <f>I6*I12*Assumptions!$B$26</f>
        <v/>
      </c>
      <c r="J20" s="17">
        <f>J6*J12*Assumptions!$B$26</f>
        <v/>
      </c>
      <c r="K20" s="17">
        <f>K6*K12*Assumptions!$B$26</f>
        <v/>
      </c>
      <c r="L20" s="17">
        <f>L6*L12*Assumptions!$B$26</f>
        <v/>
      </c>
      <c r="M20" s="17">
        <f>M6*M12*Assumptions!$B$26</f>
        <v/>
      </c>
      <c r="N20" s="17">
        <f>N6*N12*Assumptions!$B$26</f>
        <v/>
      </c>
      <c r="O20" s="17">
        <f>O6*O12*Assumptions!$B$26</f>
        <v/>
      </c>
      <c r="P20" s="17">
        <f>P6*P12*Assumptions!$B$26</f>
        <v/>
      </c>
      <c r="Q20" s="17">
        <f>Q6*Q12*Assumptions!$B$26</f>
        <v/>
      </c>
      <c r="R20" s="17">
        <f>R6*R12*Assumptions!$B$26</f>
        <v/>
      </c>
      <c r="S20" s="17">
        <f>S6*S12*Assumptions!$B$26</f>
        <v/>
      </c>
      <c r="T20" s="17">
        <f>T6*T12*Assumptions!$B$26</f>
        <v/>
      </c>
      <c r="U20" s="17">
        <f>U6*U12*Assumptions!$B$26</f>
        <v/>
      </c>
      <c r="V20" s="17">
        <f>V6*V12*Assumptions!$B$26</f>
        <v/>
      </c>
      <c r="W20" s="17">
        <f>W6*W12*Assumptions!$B$26</f>
        <v/>
      </c>
      <c r="X20" s="17">
        <f>X6*X12*Assumptions!$B$26</f>
        <v/>
      </c>
      <c r="Y20" s="17">
        <f>Y6*Y12*Assumptions!$B$26</f>
        <v/>
      </c>
      <c r="Z20" s="17">
        <f>Z6*Z12*Assumptions!$B$26</f>
        <v/>
      </c>
      <c r="AA20" s="17">
        <f>AA6*AA12*Assumptions!$B$26</f>
        <v/>
      </c>
      <c r="AB20" s="17">
        <f>AB6*AB12*Assumptions!$B$26</f>
        <v/>
      </c>
      <c r="AC20" s="17">
        <f>AC6*AC12*Assumptions!$B$26</f>
        <v/>
      </c>
      <c r="AD20" s="17">
        <f>AD6*AD12*Assumptions!$B$26</f>
        <v/>
      </c>
      <c r="AE20" s="17">
        <f>AE6*AE12*Assumptions!$B$26</f>
        <v/>
      </c>
      <c r="AF20" s="17">
        <f>AF6*AF12*Assumptions!$B$26</f>
        <v/>
      </c>
      <c r="AG20" s="17">
        <f>AG6*AG12*Assumptions!$B$26</f>
        <v/>
      </c>
      <c r="AH20" s="17">
        <f>AH6*AH12*Assumptions!$B$26</f>
        <v/>
      </c>
      <c r="AI20" s="17">
        <f>AI6*AI12*Assumptions!$B$26</f>
        <v/>
      </c>
      <c r="AJ20" s="17">
        <f>AJ6*AJ12*Assumptions!$B$26</f>
        <v/>
      </c>
      <c r="AK20" s="17">
        <f>AK6*AK12*Assumptions!$B$26</f>
        <v/>
      </c>
      <c r="AL20" s="17">
        <f>AL6*AL12*Assumptions!$B$26</f>
        <v/>
      </c>
      <c r="AM20" s="17">
        <f>AM6*AM12*Assumptions!$B$26</f>
        <v/>
      </c>
      <c r="AN20" s="17">
        <f>AN6*AN12*Assumptions!$B$26</f>
        <v/>
      </c>
      <c r="AO20" s="17">
        <f>AO6*AO12*Assumptions!$B$26</f>
        <v/>
      </c>
      <c r="AP20" s="17">
        <f>AP6*AP12*Assumptions!$B$26</f>
        <v/>
      </c>
      <c r="AQ20" s="17">
        <f>AQ6*AQ12*Assumptions!$B$26</f>
        <v/>
      </c>
      <c r="AR20" s="17">
        <f>AR6*AR12*Assumptions!$B$26</f>
        <v/>
      </c>
      <c r="AS20" s="17">
        <f>AS6*AS12*Assumptions!$B$26</f>
        <v/>
      </c>
      <c r="AT20" s="17">
        <f>AT6*AT12*Assumptions!$B$26</f>
        <v/>
      </c>
      <c r="AU20" s="17">
        <f>AU6*AU12*Assumptions!$B$26</f>
        <v/>
      </c>
      <c r="AV20" s="17">
        <f>AV6*AV12*Assumptions!$B$26</f>
        <v/>
      </c>
      <c r="AW20" s="17">
        <f>AW6*AW12*Assumptions!$B$26</f>
        <v/>
      </c>
      <c r="AX20" s="17">
        <f>AX6*AX12*Assumptions!$B$26</f>
        <v/>
      </c>
      <c r="AY20" s="17">
        <f>AY6*AY12*Assumptions!$B$26</f>
        <v/>
      </c>
      <c r="AZ20" s="17">
        <f>AZ6*AZ12*Assumptions!$B$26</f>
        <v/>
      </c>
      <c r="BA20" s="17">
        <f>BA6*BA12*Assumptions!$B$26</f>
        <v/>
      </c>
      <c r="BB20" s="17">
        <f>BB6*BB12*Assumptions!$B$26</f>
        <v/>
      </c>
      <c r="BC20" s="17">
        <f>BC6*BC12*Assumptions!$B$26</f>
        <v/>
      </c>
      <c r="BD20" s="17">
        <f>BD6*BD12*Assumptions!$B$26</f>
        <v/>
      </c>
      <c r="BE20" s="17">
        <f>BE6*BE12*Assumptions!$B$26</f>
        <v/>
      </c>
      <c r="BF20" s="17">
        <f>BF6*BF12*Assumptions!$B$26</f>
        <v/>
      </c>
      <c r="BG20" s="17">
        <f>BG6*BG12*Assumptions!$B$26</f>
        <v/>
      </c>
      <c r="BH20" s="17">
        <f>BH6*BH12*Assumptions!$B$26</f>
        <v/>
      </c>
      <c r="BI20" s="17">
        <f>BI6*BI12*Assumptions!$B$26</f>
        <v/>
      </c>
      <c r="BJ20" s="17">
        <f>BJ6*BJ12*Assumptions!$B$26</f>
        <v/>
      </c>
      <c r="BK20" s="17">
        <f>BK6*BK12*Assumptions!$B$26</f>
        <v/>
      </c>
      <c r="BL20" s="17">
        <f>BL6*BL12*Assumptions!$B$26</f>
        <v/>
      </c>
      <c r="BM20" s="17">
        <f>BM6*BM12*Assumptions!$B$26</f>
        <v/>
      </c>
      <c r="BN20" s="17">
        <f>BN6*BN12*Assumptions!$B$26</f>
        <v/>
      </c>
      <c r="BO20" s="17">
        <f>BO6*BO12*Assumptions!$B$26</f>
        <v/>
      </c>
      <c r="BP20" s="17">
        <f>BP6*BP12*Assumptions!$B$26</f>
        <v/>
      </c>
      <c r="BQ20" s="17">
        <f>BQ6*BQ12*Assumptions!$B$26</f>
        <v/>
      </c>
      <c r="BR20" s="17">
        <f>BR6*BR12*Assumptions!$B$26</f>
        <v/>
      </c>
      <c r="BS20" s="17">
        <f>BS6*BS12*Assumptions!$B$26</f>
        <v/>
      </c>
      <c r="BT20" s="17">
        <f>BT6*BT12*Assumptions!$B$26</f>
        <v/>
      </c>
      <c r="BU20" s="17">
        <f>BU6*BU12*Assumptions!$B$26</f>
        <v/>
      </c>
      <c r="BV20" s="17">
        <f>BV6*BV12*Assumptions!$B$26</f>
        <v/>
      </c>
      <c r="BW20" s="17">
        <f>BW6*BW12*Assumptions!$B$26</f>
        <v/>
      </c>
    </row>
    <row r="22">
      <c r="A22" t="inlineStr">
        <is>
          <t>Fulfillment — postage + printing</t>
        </is>
      </c>
      <c r="D22" s="17">
        <f>D5*(Assumptions!$B$29+Assumptions!$B$30)</f>
        <v/>
      </c>
      <c r="E22" s="17">
        <f>E5*(Assumptions!$B$29+Assumptions!$B$30)</f>
        <v/>
      </c>
      <c r="F22" s="17">
        <f>F5*(Assumptions!$B$29+Assumptions!$B$30)</f>
        <v/>
      </c>
      <c r="G22" s="17">
        <f>G5*(Assumptions!$B$29+Assumptions!$B$30)</f>
        <v/>
      </c>
      <c r="H22" s="17">
        <f>H5*(Assumptions!$B$29+Assumptions!$B$30)</f>
        <v/>
      </c>
      <c r="I22" s="17">
        <f>I5*(Assumptions!$B$29+Assumptions!$B$30)</f>
        <v/>
      </c>
      <c r="J22" s="17">
        <f>J5*(Assumptions!$B$29+Assumptions!$B$30)</f>
        <v/>
      </c>
      <c r="K22" s="17">
        <f>K5*(Assumptions!$B$29+Assumptions!$B$30)</f>
        <v/>
      </c>
      <c r="L22" s="17">
        <f>L5*(Assumptions!$B$29+Assumptions!$B$30)</f>
        <v/>
      </c>
      <c r="M22" s="17">
        <f>M5*(Assumptions!$B$29+Assumptions!$B$30)</f>
        <v/>
      </c>
      <c r="N22" s="17">
        <f>N5*(Assumptions!$B$29+Assumptions!$B$30)</f>
        <v/>
      </c>
      <c r="O22" s="17">
        <f>O5*(Assumptions!$B$29+Assumptions!$B$30)</f>
        <v/>
      </c>
      <c r="P22" s="17">
        <f>P5*(Assumptions!$B$29+Assumptions!$B$30)</f>
        <v/>
      </c>
      <c r="Q22" s="17">
        <f>Q5*(Assumptions!$B$29+Assumptions!$B$30)</f>
        <v/>
      </c>
      <c r="R22" s="17">
        <f>R5*(Assumptions!$B$29+Assumptions!$B$30)</f>
        <v/>
      </c>
      <c r="S22" s="17">
        <f>S5*(Assumptions!$B$29+Assumptions!$B$30)</f>
        <v/>
      </c>
      <c r="T22" s="17">
        <f>T5*(Assumptions!$B$29+Assumptions!$B$30)</f>
        <v/>
      </c>
      <c r="U22" s="17">
        <f>U5*(Assumptions!$B$29+Assumptions!$B$30)</f>
        <v/>
      </c>
      <c r="V22" s="17">
        <f>V5*(Assumptions!$B$29+Assumptions!$B$30)</f>
        <v/>
      </c>
      <c r="W22" s="17">
        <f>W5*(Assumptions!$B$29+Assumptions!$B$30)</f>
        <v/>
      </c>
      <c r="X22" s="17">
        <f>X5*(Assumptions!$B$29+Assumptions!$B$30)</f>
        <v/>
      </c>
      <c r="Y22" s="17">
        <f>Y5*(Assumptions!$B$29+Assumptions!$B$30)</f>
        <v/>
      </c>
      <c r="Z22" s="17">
        <f>Z5*(Assumptions!$B$29+Assumptions!$B$30)</f>
        <v/>
      </c>
      <c r="AA22" s="17">
        <f>AA5*(Assumptions!$B$29+Assumptions!$B$30)</f>
        <v/>
      </c>
      <c r="AB22" s="17">
        <f>AB5*(Assumptions!$B$29+Assumptions!$B$30)</f>
        <v/>
      </c>
      <c r="AC22" s="17">
        <f>AC5*(Assumptions!$B$29+Assumptions!$B$30)</f>
        <v/>
      </c>
      <c r="AD22" s="17">
        <f>AD5*(Assumptions!$B$29+Assumptions!$B$30)</f>
        <v/>
      </c>
      <c r="AE22" s="17">
        <f>AE5*(Assumptions!$B$29+Assumptions!$B$30)</f>
        <v/>
      </c>
      <c r="AF22" s="17">
        <f>AF5*(Assumptions!$B$29+Assumptions!$B$30)</f>
        <v/>
      </c>
      <c r="AG22" s="17">
        <f>AG5*(Assumptions!$B$29+Assumptions!$B$30)</f>
        <v/>
      </c>
      <c r="AH22" s="17">
        <f>AH5*(Assumptions!$B$29+Assumptions!$B$30)</f>
        <v/>
      </c>
      <c r="AI22" s="17">
        <f>AI5*(Assumptions!$B$29+Assumptions!$B$30)</f>
        <v/>
      </c>
      <c r="AJ22" s="17">
        <f>AJ5*(Assumptions!$B$29+Assumptions!$B$30)</f>
        <v/>
      </c>
      <c r="AK22" s="17">
        <f>AK5*(Assumptions!$B$29+Assumptions!$B$30)</f>
        <v/>
      </c>
      <c r="AL22" s="17">
        <f>AL5*(Assumptions!$B$29+Assumptions!$B$30)</f>
        <v/>
      </c>
      <c r="AM22" s="17">
        <f>AM5*(Assumptions!$B$29+Assumptions!$B$30)</f>
        <v/>
      </c>
      <c r="AN22" s="17">
        <f>AN5*(Assumptions!$B$29+Assumptions!$B$30)</f>
        <v/>
      </c>
      <c r="AO22" s="17">
        <f>AO5*(Assumptions!$B$29+Assumptions!$B$30)</f>
        <v/>
      </c>
      <c r="AP22" s="17">
        <f>AP5*(Assumptions!$B$29+Assumptions!$B$30)</f>
        <v/>
      </c>
      <c r="AQ22" s="17">
        <f>AQ5*(Assumptions!$B$29+Assumptions!$B$30)</f>
        <v/>
      </c>
      <c r="AR22" s="17">
        <f>AR5*(Assumptions!$B$29+Assumptions!$B$30)</f>
        <v/>
      </c>
      <c r="AS22" s="17">
        <f>AS5*(Assumptions!$B$29+Assumptions!$B$30)</f>
        <v/>
      </c>
      <c r="AT22" s="17">
        <f>AT5*(Assumptions!$B$29+Assumptions!$B$30)</f>
        <v/>
      </c>
      <c r="AU22" s="17">
        <f>AU5*(Assumptions!$B$29+Assumptions!$B$30)</f>
        <v/>
      </c>
      <c r="AV22" s="17">
        <f>AV5*(Assumptions!$B$29+Assumptions!$B$30)</f>
        <v/>
      </c>
      <c r="AW22" s="17">
        <f>AW5*(Assumptions!$B$29+Assumptions!$B$30)</f>
        <v/>
      </c>
      <c r="AX22" s="17">
        <f>AX5*(Assumptions!$B$29+Assumptions!$B$30)</f>
        <v/>
      </c>
      <c r="AY22" s="17">
        <f>AY5*(Assumptions!$B$29+Assumptions!$B$30)</f>
        <v/>
      </c>
      <c r="AZ22" s="17">
        <f>AZ5*(Assumptions!$B$29+Assumptions!$B$30)</f>
        <v/>
      </c>
      <c r="BA22" s="17">
        <f>BA5*(Assumptions!$B$29+Assumptions!$B$30)</f>
        <v/>
      </c>
      <c r="BB22" s="17">
        <f>BB5*(Assumptions!$B$29+Assumptions!$B$30)</f>
        <v/>
      </c>
      <c r="BC22" s="17">
        <f>BC5*(Assumptions!$B$29+Assumptions!$B$30)</f>
        <v/>
      </c>
      <c r="BD22" s="17">
        <f>BD5*(Assumptions!$B$29+Assumptions!$B$30)</f>
        <v/>
      </c>
      <c r="BE22" s="17">
        <f>BE5*(Assumptions!$B$29+Assumptions!$B$30)</f>
        <v/>
      </c>
      <c r="BF22" s="17">
        <f>BF5*(Assumptions!$B$29+Assumptions!$B$30)</f>
        <v/>
      </c>
      <c r="BG22" s="17">
        <f>BG5*(Assumptions!$B$29+Assumptions!$B$30)</f>
        <v/>
      </c>
      <c r="BH22" s="17">
        <f>BH5*(Assumptions!$B$29+Assumptions!$B$30)</f>
        <v/>
      </c>
      <c r="BI22" s="17">
        <f>BI5*(Assumptions!$B$29+Assumptions!$B$30)</f>
        <v/>
      </c>
      <c r="BJ22" s="17">
        <f>BJ5*(Assumptions!$B$29+Assumptions!$B$30)</f>
        <v/>
      </c>
      <c r="BK22" s="17">
        <f>BK5*(Assumptions!$B$29+Assumptions!$B$30)</f>
        <v/>
      </c>
      <c r="BL22" s="17">
        <f>BL5*(Assumptions!$B$29+Assumptions!$B$30)</f>
        <v/>
      </c>
      <c r="BM22" s="17">
        <f>BM5*(Assumptions!$B$29+Assumptions!$B$30)</f>
        <v/>
      </c>
      <c r="BN22" s="17">
        <f>BN5*(Assumptions!$B$29+Assumptions!$B$30)</f>
        <v/>
      </c>
      <c r="BO22" s="17">
        <f>BO5*(Assumptions!$B$29+Assumptions!$B$30)</f>
        <v/>
      </c>
      <c r="BP22" s="17">
        <f>BP5*(Assumptions!$B$29+Assumptions!$B$30)</f>
        <v/>
      </c>
      <c r="BQ22" s="17">
        <f>BQ5*(Assumptions!$B$29+Assumptions!$B$30)</f>
        <v/>
      </c>
      <c r="BR22" s="17">
        <f>BR5*(Assumptions!$B$29+Assumptions!$B$30)</f>
        <v/>
      </c>
      <c r="BS22" s="17">
        <f>BS5*(Assumptions!$B$29+Assumptions!$B$30)</f>
        <v/>
      </c>
      <c r="BT22" s="17">
        <f>BT5*(Assumptions!$B$29+Assumptions!$B$30)</f>
        <v/>
      </c>
      <c r="BU22" s="17">
        <f>BU5*(Assumptions!$B$29+Assumptions!$B$30)</f>
        <v/>
      </c>
      <c r="BV22" s="17">
        <f>BV5*(Assumptions!$B$29+Assumptions!$B$30)</f>
        <v/>
      </c>
      <c r="BW22" s="17">
        <f>BW5*(Assumptions!$B$29+Assumptions!$B$30)</f>
        <v/>
      </c>
    </row>
    <row r="23">
      <c r="A23" t="inlineStr">
        <is>
          <t>Merchant fees + chargebacks</t>
        </is>
      </c>
      <c r="D23" s="17">
        <f>D13*Assumptions!$B$27</f>
        <v/>
      </c>
      <c r="E23" s="17">
        <f>E13*Assumptions!$B$27</f>
        <v/>
      </c>
      <c r="F23" s="17">
        <f>F13*Assumptions!$B$27</f>
        <v/>
      </c>
      <c r="G23" s="17">
        <f>G13*Assumptions!$B$27</f>
        <v/>
      </c>
      <c r="H23" s="17">
        <f>H13*Assumptions!$B$27</f>
        <v/>
      </c>
      <c r="I23" s="17">
        <f>I13*Assumptions!$B$27</f>
        <v/>
      </c>
      <c r="J23" s="17">
        <f>J13*Assumptions!$B$27</f>
        <v/>
      </c>
      <c r="K23" s="17">
        <f>K13*Assumptions!$B$27</f>
        <v/>
      </c>
      <c r="L23" s="17">
        <f>L13*Assumptions!$B$27</f>
        <v/>
      </c>
      <c r="M23" s="17">
        <f>M13*Assumptions!$B$27</f>
        <v/>
      </c>
      <c r="N23" s="17">
        <f>N13*Assumptions!$B$27</f>
        <v/>
      </c>
      <c r="O23" s="17">
        <f>O13*Assumptions!$B$27</f>
        <v/>
      </c>
      <c r="P23" s="17">
        <f>P13*Assumptions!$B$27</f>
        <v/>
      </c>
      <c r="Q23" s="17">
        <f>Q13*Assumptions!$B$27</f>
        <v/>
      </c>
      <c r="R23" s="17">
        <f>R13*Assumptions!$B$27</f>
        <v/>
      </c>
      <c r="S23" s="17">
        <f>S13*Assumptions!$B$27</f>
        <v/>
      </c>
      <c r="T23" s="17">
        <f>T13*Assumptions!$B$27</f>
        <v/>
      </c>
      <c r="U23" s="17">
        <f>U13*Assumptions!$B$27</f>
        <v/>
      </c>
      <c r="V23" s="17">
        <f>V13*Assumptions!$B$27</f>
        <v/>
      </c>
      <c r="W23" s="17">
        <f>W13*Assumptions!$B$27</f>
        <v/>
      </c>
      <c r="X23" s="17">
        <f>X13*Assumptions!$B$27</f>
        <v/>
      </c>
      <c r="Y23" s="17">
        <f>Y13*Assumptions!$B$27</f>
        <v/>
      </c>
      <c r="Z23" s="17">
        <f>Z13*Assumptions!$B$27</f>
        <v/>
      </c>
      <c r="AA23" s="17">
        <f>AA13*Assumptions!$B$27</f>
        <v/>
      </c>
      <c r="AB23" s="17">
        <f>AB13*Assumptions!$B$27</f>
        <v/>
      </c>
      <c r="AC23" s="17">
        <f>AC13*Assumptions!$B$27</f>
        <v/>
      </c>
      <c r="AD23" s="17">
        <f>AD13*Assumptions!$B$27</f>
        <v/>
      </c>
      <c r="AE23" s="17">
        <f>AE13*Assumptions!$B$27</f>
        <v/>
      </c>
      <c r="AF23" s="17">
        <f>AF13*Assumptions!$B$27</f>
        <v/>
      </c>
      <c r="AG23" s="17">
        <f>AG13*Assumptions!$B$27</f>
        <v/>
      </c>
      <c r="AH23" s="17">
        <f>AH13*Assumptions!$B$27</f>
        <v/>
      </c>
      <c r="AI23" s="17">
        <f>AI13*Assumptions!$B$27</f>
        <v/>
      </c>
      <c r="AJ23" s="17">
        <f>AJ13*Assumptions!$B$27</f>
        <v/>
      </c>
      <c r="AK23" s="17">
        <f>AK13*Assumptions!$B$27</f>
        <v/>
      </c>
      <c r="AL23" s="17">
        <f>AL13*Assumptions!$B$27</f>
        <v/>
      </c>
      <c r="AM23" s="17">
        <f>AM13*Assumptions!$B$27</f>
        <v/>
      </c>
      <c r="AN23" s="17">
        <f>AN13*Assumptions!$B$27</f>
        <v/>
      </c>
      <c r="AO23" s="17">
        <f>AO13*Assumptions!$B$27</f>
        <v/>
      </c>
      <c r="AP23" s="17">
        <f>AP13*Assumptions!$B$27</f>
        <v/>
      </c>
      <c r="AQ23" s="17">
        <f>AQ13*Assumptions!$B$27</f>
        <v/>
      </c>
      <c r="AR23" s="17">
        <f>AR13*Assumptions!$B$27</f>
        <v/>
      </c>
      <c r="AS23" s="17">
        <f>AS13*Assumptions!$B$27</f>
        <v/>
      </c>
      <c r="AT23" s="17">
        <f>AT13*Assumptions!$B$27</f>
        <v/>
      </c>
      <c r="AU23" s="17">
        <f>AU13*Assumptions!$B$27</f>
        <v/>
      </c>
      <c r="AV23" s="17">
        <f>AV13*Assumptions!$B$27</f>
        <v/>
      </c>
      <c r="AW23" s="17">
        <f>AW13*Assumptions!$B$27</f>
        <v/>
      </c>
      <c r="AX23" s="17">
        <f>AX13*Assumptions!$B$27</f>
        <v/>
      </c>
      <c r="AY23" s="17">
        <f>AY13*Assumptions!$B$27</f>
        <v/>
      </c>
      <c r="AZ23" s="17">
        <f>AZ13*Assumptions!$B$27</f>
        <v/>
      </c>
      <c r="BA23" s="17">
        <f>BA13*Assumptions!$B$27</f>
        <v/>
      </c>
      <c r="BB23" s="17">
        <f>BB13*Assumptions!$B$27</f>
        <v/>
      </c>
      <c r="BC23" s="17">
        <f>BC13*Assumptions!$B$27</f>
        <v/>
      </c>
      <c r="BD23" s="17">
        <f>BD13*Assumptions!$B$27</f>
        <v/>
      </c>
      <c r="BE23" s="17">
        <f>BE13*Assumptions!$B$27</f>
        <v/>
      </c>
      <c r="BF23" s="17">
        <f>BF13*Assumptions!$B$27</f>
        <v/>
      </c>
      <c r="BG23" s="17">
        <f>BG13*Assumptions!$B$27</f>
        <v/>
      </c>
      <c r="BH23" s="17">
        <f>BH13*Assumptions!$B$27</f>
        <v/>
      </c>
      <c r="BI23" s="17">
        <f>BI13*Assumptions!$B$27</f>
        <v/>
      </c>
      <c r="BJ23" s="17">
        <f>BJ13*Assumptions!$B$27</f>
        <v/>
      </c>
      <c r="BK23" s="17">
        <f>BK13*Assumptions!$B$27</f>
        <v/>
      </c>
      <c r="BL23" s="17">
        <f>BL13*Assumptions!$B$27</f>
        <v/>
      </c>
      <c r="BM23" s="17">
        <f>BM13*Assumptions!$B$27</f>
        <v/>
      </c>
      <c r="BN23" s="17">
        <f>BN13*Assumptions!$B$27</f>
        <v/>
      </c>
      <c r="BO23" s="17">
        <f>BO13*Assumptions!$B$27</f>
        <v/>
      </c>
      <c r="BP23" s="17">
        <f>BP13*Assumptions!$B$27</f>
        <v/>
      </c>
      <c r="BQ23" s="17">
        <f>BQ13*Assumptions!$B$27</f>
        <v/>
      </c>
      <c r="BR23" s="17">
        <f>BR13*Assumptions!$B$27</f>
        <v/>
      </c>
      <c r="BS23" s="17">
        <f>BS13*Assumptions!$B$27</f>
        <v/>
      </c>
      <c r="BT23" s="17">
        <f>BT13*Assumptions!$B$27</f>
        <v/>
      </c>
      <c r="BU23" s="17">
        <f>BU13*Assumptions!$B$27</f>
        <v/>
      </c>
      <c r="BV23" s="17">
        <f>BV13*Assumptions!$B$27</f>
        <v/>
      </c>
      <c r="BW23" s="17">
        <f>BW13*Assumptions!$B$27</f>
        <v/>
      </c>
    </row>
    <row r="24">
      <c r="A24" s="1" t="inlineStr">
        <is>
          <t>Total COS</t>
        </is>
      </c>
      <c r="D24" s="28">
        <f>SUM(D18:D23)</f>
        <v/>
      </c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  <c r="J24" s="28">
        <f>SUM(J18:J23)</f>
        <v/>
      </c>
      <c r="K24" s="28">
        <f>SUM(K18:K23)</f>
        <v/>
      </c>
      <c r="L24" s="28">
        <f>SUM(L18:L23)</f>
        <v/>
      </c>
      <c r="M24" s="28">
        <f>SUM(M18:M23)</f>
        <v/>
      </c>
      <c r="N24" s="28">
        <f>SUM(N18:N23)</f>
        <v/>
      </c>
      <c r="O24" s="28">
        <f>SUM(O18:O23)</f>
        <v/>
      </c>
      <c r="P24" s="28">
        <f>SUM(P18:P23)</f>
        <v/>
      </c>
      <c r="Q24" s="28">
        <f>SUM(Q18:Q23)</f>
        <v/>
      </c>
      <c r="R24" s="28">
        <f>SUM(R18:R23)</f>
        <v/>
      </c>
      <c r="S24" s="28">
        <f>SUM(S18:S23)</f>
        <v/>
      </c>
      <c r="T24" s="28">
        <f>SUM(T18:T23)</f>
        <v/>
      </c>
      <c r="U24" s="28">
        <f>SUM(U18:U23)</f>
        <v/>
      </c>
      <c r="V24" s="28">
        <f>SUM(V18:V23)</f>
        <v/>
      </c>
      <c r="W24" s="28">
        <f>SUM(W18:W23)</f>
        <v/>
      </c>
      <c r="X24" s="28">
        <f>SUM(X18:X23)</f>
        <v/>
      </c>
      <c r="Y24" s="28">
        <f>SUM(Y18:Y23)</f>
        <v/>
      </c>
      <c r="Z24" s="28">
        <f>SUM(Z18:Z23)</f>
        <v/>
      </c>
      <c r="AA24" s="28">
        <f>SUM(AA18:AA23)</f>
        <v/>
      </c>
      <c r="AB24" s="28">
        <f>SUM(AB18:AB23)</f>
        <v/>
      </c>
      <c r="AC24" s="28">
        <f>SUM(AC18:AC23)</f>
        <v/>
      </c>
      <c r="AD24" s="28">
        <f>SUM(AD18:AD23)</f>
        <v/>
      </c>
      <c r="AE24" s="28">
        <f>SUM(AE18:AE23)</f>
        <v/>
      </c>
      <c r="AF24" s="28">
        <f>SUM(AF18:AF23)</f>
        <v/>
      </c>
      <c r="AG24" s="28">
        <f>SUM(AG18:AG23)</f>
        <v/>
      </c>
      <c r="AH24" s="28">
        <f>SUM(AH18:AH23)</f>
        <v/>
      </c>
      <c r="AI24" s="28">
        <f>SUM(AI18:AI23)</f>
        <v/>
      </c>
      <c r="AJ24" s="28">
        <f>SUM(AJ18:AJ23)</f>
        <v/>
      </c>
      <c r="AK24" s="28">
        <f>SUM(AK18:AK23)</f>
        <v/>
      </c>
      <c r="AL24" s="28">
        <f>SUM(AL18:AL23)</f>
        <v/>
      </c>
      <c r="AM24" s="28">
        <f>SUM(AM18:AM23)</f>
        <v/>
      </c>
      <c r="AN24" s="28">
        <f>SUM(AN18:AN23)</f>
        <v/>
      </c>
      <c r="AO24" s="28">
        <f>SUM(AO18:AO23)</f>
        <v/>
      </c>
      <c r="AP24" s="28">
        <f>SUM(AP18:AP23)</f>
        <v/>
      </c>
      <c r="AQ24" s="28">
        <f>SUM(AQ18:AQ23)</f>
        <v/>
      </c>
      <c r="AR24" s="28">
        <f>SUM(AR18:AR23)</f>
        <v/>
      </c>
      <c r="AS24" s="28">
        <f>SUM(AS18:AS23)</f>
        <v/>
      </c>
      <c r="AT24" s="28">
        <f>SUM(AT18:AT23)</f>
        <v/>
      </c>
      <c r="AU24" s="28">
        <f>SUM(AU18:AU23)</f>
        <v/>
      </c>
      <c r="AV24" s="28">
        <f>SUM(AV18:AV23)</f>
        <v/>
      </c>
      <c r="AW24" s="28">
        <f>SUM(AW18:AW23)</f>
        <v/>
      </c>
      <c r="AX24" s="28">
        <f>SUM(AX18:AX23)</f>
        <v/>
      </c>
      <c r="AY24" s="28">
        <f>SUM(AY18:AY23)</f>
        <v/>
      </c>
      <c r="AZ24" s="28">
        <f>SUM(AZ18:AZ23)</f>
        <v/>
      </c>
      <c r="BA24" s="28">
        <f>SUM(BA18:BA23)</f>
        <v/>
      </c>
      <c r="BB24" s="28">
        <f>SUM(BB18:BB23)</f>
        <v/>
      </c>
      <c r="BC24" s="28">
        <f>SUM(BC18:BC23)</f>
        <v/>
      </c>
      <c r="BD24" s="28">
        <f>SUM(BD18:BD23)</f>
        <v/>
      </c>
      <c r="BE24" s="28">
        <f>SUM(BE18:BE23)</f>
        <v/>
      </c>
      <c r="BF24" s="28">
        <f>SUM(BF18:BF23)</f>
        <v/>
      </c>
      <c r="BG24" s="28">
        <f>SUM(BG18:BG23)</f>
        <v/>
      </c>
      <c r="BH24" s="28">
        <f>SUM(BH18:BH23)</f>
        <v/>
      </c>
      <c r="BI24" s="28">
        <f>SUM(BI18:BI23)</f>
        <v/>
      </c>
      <c r="BJ24" s="28">
        <f>SUM(BJ18:BJ23)</f>
        <v/>
      </c>
      <c r="BK24" s="28">
        <f>SUM(BK18:BK23)</f>
        <v/>
      </c>
      <c r="BL24" s="28">
        <f>SUM(BL18:BL23)</f>
        <v/>
      </c>
      <c r="BM24" s="28">
        <f>SUM(BM18:BM23)</f>
        <v/>
      </c>
      <c r="BN24" s="28">
        <f>SUM(BN18:BN23)</f>
        <v/>
      </c>
      <c r="BO24" s="28">
        <f>SUM(BO18:BO23)</f>
        <v/>
      </c>
      <c r="BP24" s="28">
        <f>SUM(BP18:BP23)</f>
        <v/>
      </c>
      <c r="BQ24" s="28">
        <f>SUM(BQ18:BQ23)</f>
        <v/>
      </c>
      <c r="BR24" s="28">
        <f>SUM(BR18:BR23)</f>
        <v/>
      </c>
      <c r="BS24" s="28">
        <f>SUM(BS18:BS23)</f>
        <v/>
      </c>
      <c r="BT24" s="28">
        <f>SUM(BT18:BT23)</f>
        <v/>
      </c>
      <c r="BU24" s="28">
        <f>SUM(BU18:BU23)</f>
        <v/>
      </c>
      <c r="BV24" s="28">
        <f>SUM(BV18:BV23)</f>
        <v/>
      </c>
      <c r="BW24" s="28">
        <f>SUM(BW18:BW23)</f>
        <v/>
      </c>
    </row>
    <row r="26">
      <c r="A26" s="1" t="inlineStr">
        <is>
          <t>Gross profit</t>
        </is>
      </c>
      <c r="D26" s="101">
        <f>D15-D24</f>
        <v/>
      </c>
      <c r="E26" s="101">
        <f>E15-E24</f>
        <v/>
      </c>
      <c r="F26" s="101">
        <f>F15-F24</f>
        <v/>
      </c>
      <c r="G26" s="101">
        <f>G15-G24</f>
        <v/>
      </c>
      <c r="H26" s="101">
        <f>H15-H24</f>
        <v/>
      </c>
      <c r="I26" s="101">
        <f>I15-I24</f>
        <v/>
      </c>
      <c r="J26" s="101">
        <f>J15-J24</f>
        <v/>
      </c>
      <c r="K26" s="101">
        <f>K15-K24</f>
        <v/>
      </c>
      <c r="L26" s="101">
        <f>L15-L24</f>
        <v/>
      </c>
      <c r="M26" s="101">
        <f>M15-M24</f>
        <v/>
      </c>
      <c r="N26" s="101">
        <f>N15-N24</f>
        <v/>
      </c>
      <c r="O26" s="101">
        <f>O15-O24</f>
        <v/>
      </c>
      <c r="P26" s="101">
        <f>P15-P24</f>
        <v/>
      </c>
      <c r="Q26" s="101">
        <f>Q15-Q24</f>
        <v/>
      </c>
      <c r="R26" s="101">
        <f>R15-R24</f>
        <v/>
      </c>
      <c r="S26" s="101">
        <f>S15-S24</f>
        <v/>
      </c>
      <c r="T26" s="101">
        <f>T15-T24</f>
        <v/>
      </c>
      <c r="U26" s="101">
        <f>U15-U24</f>
        <v/>
      </c>
      <c r="V26" s="101">
        <f>V15-V24</f>
        <v/>
      </c>
      <c r="W26" s="101">
        <f>W15-W24</f>
        <v/>
      </c>
      <c r="X26" s="101">
        <f>X15-X24</f>
        <v/>
      </c>
      <c r="Y26" s="101">
        <f>Y15-Y24</f>
        <v/>
      </c>
      <c r="Z26" s="101">
        <f>Z15-Z24</f>
        <v/>
      </c>
      <c r="AA26" s="101">
        <f>AA15-AA24</f>
        <v/>
      </c>
      <c r="AB26" s="101">
        <f>AB15-AB24</f>
        <v/>
      </c>
      <c r="AC26" s="101">
        <f>AC15-AC24</f>
        <v/>
      </c>
      <c r="AD26" s="101">
        <f>AD15-AD24</f>
        <v/>
      </c>
      <c r="AE26" s="101">
        <f>AE15-AE24</f>
        <v/>
      </c>
      <c r="AF26" s="101">
        <f>AF15-AF24</f>
        <v/>
      </c>
      <c r="AG26" s="101">
        <f>AG15-AG24</f>
        <v/>
      </c>
      <c r="AH26" s="101">
        <f>AH15-AH24</f>
        <v/>
      </c>
      <c r="AI26" s="101">
        <f>AI15-AI24</f>
        <v/>
      </c>
      <c r="AJ26" s="101">
        <f>AJ15-AJ24</f>
        <v/>
      </c>
      <c r="AK26" s="101">
        <f>AK15-AK24</f>
        <v/>
      </c>
      <c r="AL26" s="101">
        <f>AL15-AL24</f>
        <v/>
      </c>
      <c r="AM26" s="101">
        <f>AM15-AM24</f>
        <v/>
      </c>
      <c r="AN26" s="101">
        <f>AN15-AN24</f>
        <v/>
      </c>
      <c r="AO26" s="101">
        <f>AO15-AO24</f>
        <v/>
      </c>
      <c r="AP26" s="101">
        <f>AP15-AP24</f>
        <v/>
      </c>
      <c r="AQ26" s="101">
        <f>AQ15-AQ24</f>
        <v/>
      </c>
      <c r="AR26" s="101">
        <f>AR15-AR24</f>
        <v/>
      </c>
      <c r="AS26" s="101">
        <f>AS15-AS24</f>
        <v/>
      </c>
      <c r="AT26" s="101">
        <f>AT15-AT24</f>
        <v/>
      </c>
      <c r="AU26" s="101">
        <f>AU15-AU24</f>
        <v/>
      </c>
      <c r="AV26" s="101">
        <f>AV15-AV24</f>
        <v/>
      </c>
      <c r="AW26" s="101">
        <f>AW15-AW24</f>
        <v/>
      </c>
      <c r="AX26" s="101">
        <f>AX15-AX24</f>
        <v/>
      </c>
      <c r="AY26" s="101">
        <f>AY15-AY24</f>
        <v/>
      </c>
      <c r="AZ26" s="101">
        <f>AZ15-AZ24</f>
        <v/>
      </c>
      <c r="BA26" s="101">
        <f>BA15-BA24</f>
        <v/>
      </c>
      <c r="BB26" s="101">
        <f>BB15-BB24</f>
        <v/>
      </c>
      <c r="BC26" s="101">
        <f>BC15-BC24</f>
        <v/>
      </c>
      <c r="BD26" s="101">
        <f>BD15-BD24</f>
        <v/>
      </c>
      <c r="BE26" s="101">
        <f>BE15-BE24</f>
        <v/>
      </c>
      <c r="BF26" s="101">
        <f>BF15-BF24</f>
        <v/>
      </c>
      <c r="BG26" s="101">
        <f>BG15-BG24</f>
        <v/>
      </c>
      <c r="BH26" s="101">
        <f>BH15-BH24</f>
        <v/>
      </c>
      <c r="BI26" s="101">
        <f>BI15-BI24</f>
        <v/>
      </c>
      <c r="BJ26" s="101">
        <f>BJ15-BJ24</f>
        <v/>
      </c>
      <c r="BK26" s="101">
        <f>BK15-BK24</f>
        <v/>
      </c>
      <c r="BL26" s="101">
        <f>BL15-BL24</f>
        <v/>
      </c>
      <c r="BM26" s="101">
        <f>BM15-BM24</f>
        <v/>
      </c>
      <c r="BN26" s="101">
        <f>BN15-BN24</f>
        <v/>
      </c>
      <c r="BO26" s="101">
        <f>BO15-BO24</f>
        <v/>
      </c>
      <c r="BP26" s="101">
        <f>BP15-BP24</f>
        <v/>
      </c>
      <c r="BQ26" s="101">
        <f>BQ15-BQ24</f>
        <v/>
      </c>
      <c r="BR26" s="101">
        <f>BR15-BR24</f>
        <v/>
      </c>
      <c r="BS26" s="101">
        <f>BS15-BS24</f>
        <v/>
      </c>
      <c r="BT26" s="101">
        <f>BT15-BT24</f>
        <v/>
      </c>
      <c r="BU26" s="101">
        <f>BU15-BU24</f>
        <v/>
      </c>
      <c r="BV26" s="101">
        <f>BV15-BV24</f>
        <v/>
      </c>
      <c r="BW26" s="101">
        <f>BW15-BW24</f>
        <v/>
      </c>
    </row>
    <row r="28">
      <c r="A28" s="97" t="inlineStr">
        <is>
          <t>ANNUAL ROLL-UP</t>
        </is>
      </c>
      <c r="BY28" s="1" t="inlineStr">
        <is>
          <t>2025A</t>
        </is>
      </c>
      <c r="BZ28" s="1" t="inlineStr">
        <is>
          <t>2026E</t>
        </is>
      </c>
      <c r="CA28" s="1" t="inlineStr">
        <is>
          <t>2027E</t>
        </is>
      </c>
      <c r="CB28" s="1" t="inlineStr">
        <is>
          <t>2028E</t>
        </is>
      </c>
      <c r="CC28" s="1" t="inlineStr">
        <is>
          <t>2029E</t>
        </is>
      </c>
      <c r="CD28" s="1" t="inlineStr">
        <is>
          <t>2030E</t>
        </is>
      </c>
    </row>
    <row r="29">
      <c r="A29" s="1" t="inlineStr">
        <is>
          <t>New contracts</t>
        </is>
      </c>
      <c r="BY29" s="102">
        <f>SUM(D5:O5)</f>
        <v/>
      </c>
      <c r="BZ29" s="102">
        <f>SUM(P5:AA5)</f>
        <v/>
      </c>
      <c r="CA29" s="102">
        <f>SUM(AB5:AM5)</f>
        <v/>
      </c>
      <c r="CB29" s="102">
        <f>SUM(AN5:AY5)</f>
        <v/>
      </c>
      <c r="CC29" s="102">
        <f>SUM(AZ5:BK5)</f>
        <v/>
      </c>
      <c r="CD29" s="102">
        <f>SUM(BL5:BW5)</f>
        <v/>
      </c>
    </row>
    <row r="30">
      <c r="A30" s="1" t="inlineStr">
        <is>
          <t>Active contracts (Dec)</t>
        </is>
      </c>
      <c r="BY30" s="102">
        <f>O6</f>
        <v/>
      </c>
      <c r="BZ30" s="102">
        <f>AA6</f>
        <v/>
      </c>
      <c r="CA30" s="102">
        <f>AM6</f>
        <v/>
      </c>
      <c r="CB30" s="102">
        <f>AY6</f>
        <v/>
      </c>
      <c r="CC30" s="102">
        <f>BK6</f>
        <v/>
      </c>
      <c r="CD30" s="102">
        <f>BW6</f>
        <v/>
      </c>
    </row>
    <row r="31">
      <c r="A31" s="1" t="inlineStr">
        <is>
          <t>Total revenue</t>
        </is>
      </c>
      <c r="BY31" s="103">
        <f>SUM(D15:O15)</f>
        <v/>
      </c>
      <c r="BZ31" s="103">
        <f>SUM(P15:AA15)</f>
        <v/>
      </c>
      <c r="CA31" s="103">
        <f>SUM(AB15:AM15)</f>
        <v/>
      </c>
      <c r="CB31" s="103">
        <f>SUM(AN15:AY15)</f>
        <v/>
      </c>
      <c r="CC31" s="103">
        <f>SUM(AZ15:BK15)</f>
        <v/>
      </c>
      <c r="CD31" s="103">
        <f>SUM(BL15:BW15)</f>
        <v/>
      </c>
    </row>
    <row r="32">
      <c r="A32" s="1" t="inlineStr">
        <is>
          <t>Total COS</t>
        </is>
      </c>
      <c r="BY32" s="103">
        <f>SUM(D24:O24)</f>
        <v/>
      </c>
      <c r="BZ32" s="103">
        <f>SUM(P24:AA24)</f>
        <v/>
      </c>
      <c r="CA32" s="103">
        <f>SUM(AB24:AM24)</f>
        <v/>
      </c>
      <c r="CB32" s="103">
        <f>SUM(AN24:AY24)</f>
        <v/>
      </c>
      <c r="CC32" s="103">
        <f>SUM(AZ24:BK24)</f>
        <v/>
      </c>
      <c r="CD32" s="103">
        <f>SUM(BL24:BW24)</f>
        <v/>
      </c>
    </row>
    <row r="33">
      <c r="A33" s="1" t="inlineStr">
        <is>
          <t>Gross profit</t>
        </is>
      </c>
      <c r="BY33" s="103">
        <f>SUM(D26:O26)</f>
        <v/>
      </c>
      <c r="BZ33" s="103">
        <f>SUM(P26:AA26)</f>
        <v/>
      </c>
      <c r="CA33" s="103">
        <f>SUM(AB26:AM26)</f>
        <v/>
      </c>
      <c r="CB33" s="103">
        <f>SUM(AN26:AY26)</f>
        <v/>
      </c>
      <c r="CC33" s="103">
        <f>SUM(AZ26:BK26)</f>
        <v/>
      </c>
      <c r="CD33" s="103">
        <f>SUM(BL26:BW26)</f>
        <v/>
      </c>
    </row>
  </sheetData>
  <mergeCells count="4">
    <mergeCell ref="A28:H28"/>
    <mergeCell ref="A10:H10"/>
    <mergeCell ref="A17:H17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/>
  </sheetPr>
  <dimension ref="A1:CD33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8" customWidth="1" style="50" min="1" max="1"/>
    <col width="3" customWidth="1" style="50" min="2" max="2"/>
    <col width="10" customWidth="1" style="50" min="3" max="3"/>
    <col width="11" customWidth="1" style="50" min="4" max="75"/>
    <col width="13" customWidth="1" style="50" min="77" max="82"/>
  </cols>
  <sheetData>
    <row r="1" ht="24" customHeight="1" s="50">
      <c r="A1" s="95" t="inlineStr">
        <is>
          <t>Third-Party Producer — Engine (Vintage Cohort Survival)</t>
        </is>
      </c>
    </row>
    <row r="2">
      <c r="A2" s="5" t="inlineStr">
        <is>
          <t>Monthly originations × shared cancel curve. CPS (customer payment per service) = $500.0/mo.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New contracts originated</t>
        </is>
      </c>
      <c r="D5" s="15" t="n">
        <v>1275</v>
      </c>
      <c r="E5" s="15" t="n">
        <v>1291</v>
      </c>
      <c r="F5" s="15" t="n">
        <v>1611</v>
      </c>
      <c r="G5" s="15" t="n">
        <v>1733</v>
      </c>
      <c r="H5" s="15" t="n">
        <v>1883</v>
      </c>
      <c r="I5" s="15" t="n">
        <v>2033</v>
      </c>
      <c r="J5" s="15" t="n">
        <v>2183</v>
      </c>
      <c r="K5" s="15" t="n">
        <v>2400</v>
      </c>
      <c r="L5" s="15" t="n">
        <v>2400</v>
      </c>
      <c r="M5" s="15" t="n">
        <v>2500</v>
      </c>
      <c r="N5" s="15" t="n">
        <v>2550</v>
      </c>
      <c r="O5" s="15" t="n">
        <v>2400</v>
      </c>
      <c r="P5" s="15" t="n">
        <v>2550</v>
      </c>
      <c r="Q5" s="15" t="n">
        <v>2700</v>
      </c>
      <c r="R5" s="15" t="n">
        <v>2850</v>
      </c>
      <c r="S5" s="15" t="n">
        <v>3000</v>
      </c>
      <c r="T5" s="15" t="n">
        <v>3150</v>
      </c>
      <c r="U5" s="15" t="n">
        <v>3300</v>
      </c>
      <c r="V5" s="15" t="n">
        <v>3450</v>
      </c>
      <c r="W5" s="15" t="n">
        <v>3600</v>
      </c>
      <c r="X5" s="15" t="n">
        <v>3750</v>
      </c>
      <c r="Y5" s="15" t="n">
        <v>3900</v>
      </c>
      <c r="Z5" s="15" t="n">
        <v>4050</v>
      </c>
      <c r="AA5" s="15" t="n">
        <v>4200</v>
      </c>
      <c r="AB5" s="15" t="n">
        <v>4350</v>
      </c>
      <c r="AC5" s="15" t="n">
        <v>4500</v>
      </c>
      <c r="AD5" s="15" t="n">
        <v>4650</v>
      </c>
      <c r="AE5" s="15" t="n">
        <v>4800</v>
      </c>
      <c r="AF5" s="15" t="n">
        <v>4950</v>
      </c>
      <c r="AG5" s="15" t="n">
        <v>5100</v>
      </c>
      <c r="AH5" s="15" t="n">
        <v>5250</v>
      </c>
      <c r="AI5" s="15" t="n">
        <v>5400</v>
      </c>
      <c r="AJ5" s="15" t="n">
        <v>5550</v>
      </c>
      <c r="AK5" s="15" t="n">
        <v>5700</v>
      </c>
      <c r="AL5" s="15" t="n">
        <v>5850</v>
      </c>
      <c r="AM5" s="15" t="n">
        <v>6000</v>
      </c>
      <c r="AN5" s="15" t="n">
        <v>6150</v>
      </c>
      <c r="AO5" s="15" t="n">
        <v>6300</v>
      </c>
      <c r="AP5" s="15" t="n">
        <v>6450</v>
      </c>
      <c r="AQ5" s="15" t="n">
        <v>6600</v>
      </c>
      <c r="AR5" s="15" t="n">
        <v>6750</v>
      </c>
      <c r="AS5" s="15" t="n">
        <v>6900</v>
      </c>
      <c r="AT5" s="15" t="n">
        <v>7050</v>
      </c>
      <c r="AU5" s="15" t="n">
        <v>7200</v>
      </c>
      <c r="AV5" s="15" t="n">
        <v>7350</v>
      </c>
      <c r="AW5" s="15" t="n">
        <v>7500</v>
      </c>
      <c r="AX5" s="15" t="n">
        <v>7650</v>
      </c>
      <c r="AY5" s="15" t="n">
        <v>7800</v>
      </c>
      <c r="AZ5" s="15" t="n">
        <v>7950</v>
      </c>
      <c r="BA5" s="15" t="n">
        <v>8100</v>
      </c>
      <c r="BB5" s="15" t="n">
        <v>8250</v>
      </c>
      <c r="BC5" s="15" t="n">
        <v>8400</v>
      </c>
      <c r="BD5" s="15" t="n">
        <v>8550</v>
      </c>
      <c r="BE5" s="15" t="n">
        <v>8700</v>
      </c>
      <c r="BF5" s="15" t="n">
        <v>8850</v>
      </c>
      <c r="BG5" s="15" t="n">
        <v>9000</v>
      </c>
      <c r="BH5" s="15" t="n">
        <v>9150</v>
      </c>
      <c r="BI5" s="15" t="n">
        <v>9300</v>
      </c>
      <c r="BJ5" s="15" t="n">
        <v>9450</v>
      </c>
      <c r="BK5" s="15" t="n">
        <v>9600</v>
      </c>
      <c r="BL5" s="15" t="n">
        <v>9750</v>
      </c>
      <c r="BM5" s="15" t="n">
        <v>9900</v>
      </c>
      <c r="BN5" s="15" t="n">
        <v>10050</v>
      </c>
      <c r="BO5" s="15" t="n">
        <v>10200</v>
      </c>
      <c r="BP5" s="15" t="n">
        <v>10350</v>
      </c>
      <c r="BQ5" s="15" t="n">
        <v>10500</v>
      </c>
      <c r="BR5" s="15" t="n">
        <v>10650</v>
      </c>
      <c r="BS5" s="15" t="n">
        <v>10800</v>
      </c>
      <c r="BT5" s="15" t="n">
        <v>10950</v>
      </c>
      <c r="BU5" s="15" t="n">
        <v>11100</v>
      </c>
      <c r="BV5" s="15" t="n">
        <v>11250</v>
      </c>
      <c r="BW5" s="15" t="n">
        <v>11400</v>
      </c>
    </row>
    <row r="6">
      <c r="A6" s="1" t="inlineStr">
        <is>
          <t>Active contracts (vintage-weighted)</t>
        </is>
      </c>
      <c r="C6" s="26">
        <f>C7</f>
        <v/>
      </c>
      <c r="D6" s="26">
        <f>$D5*'Cancel Curves'!$B$12 + 2756.9122</f>
        <v/>
      </c>
      <c r="E6" s="26">
        <f>$D5*'Cancel Curves'!$C$12 + $E5*'Cancel Curves'!$B$12 + 2545.0528</f>
        <v/>
      </c>
      <c r="F6" s="26">
        <f>$D5*'Cancel Curves'!$D$12 + $E5*'Cancel Curves'!$C$12 + $F5*'Cancel Curves'!$B$12 + 2386.8249</f>
        <v/>
      </c>
      <c r="G6" s="26">
        <f>$D5*'Cancel Curves'!$E$12 + $E5*'Cancel Curves'!$D$12 + $F5*'Cancel Curves'!$C$12 + $G5*'Cancel Curves'!$B$12 + 2261.1427</f>
        <v/>
      </c>
      <c r="H6" s="26">
        <f>$D5*'Cancel Curves'!$F$12 + $E5*'Cancel Curves'!$E$12 + $F5*'Cancel Curves'!$D$12 + $G5*'Cancel Curves'!$C$12 + $H5*'Cancel Curves'!$B$12 + 2154.6304</f>
        <v/>
      </c>
      <c r="I6" s="26">
        <f>$D5*'Cancel Curves'!$G$12 + $E5*'Cancel Curves'!$F$12 + $F5*'Cancel Curves'!$E$12 + $G5*'Cancel Curves'!$D$12 + $H5*'Cancel Curves'!$C$12 + $I5*'Cancel Curves'!$B$12 + 2062.3661</f>
        <v/>
      </c>
      <c r="J6" s="26">
        <f>$D5*'Cancel Curves'!$H$12 + $E5*'Cancel Curves'!$G$12 + $F5*'Cancel Curves'!$F$12 + $G5*'Cancel Curves'!$E$12 + $H5*'Cancel Curves'!$D$12 + $I5*'Cancel Curves'!$C$12 + $J5*'Cancel Curves'!$B$12 + 1980.6544</f>
        <v/>
      </c>
      <c r="K6" s="26">
        <f>$D5*'Cancel Curves'!$I$12 + $E5*'Cancel Curves'!$H$12 + $F5*'Cancel Curves'!$G$12 + $G5*'Cancel Curves'!$F$12 + $H5*'Cancel Curves'!$E$12 + $I5*'Cancel Curves'!$D$12 + $J5*'Cancel Curves'!$C$12 + $K5*'Cancel Curves'!$B$12 + 1909.6333</f>
        <v/>
      </c>
      <c r="L6" s="26">
        <f>$D5*'Cancel Curves'!$J$12 + $E5*'Cancel Curves'!$I$12 + $F5*'Cancel Curves'!$H$12 + $G5*'Cancel Curves'!$G$12 + $H5*'Cancel Curves'!$F$12 + $I5*'Cancel Curves'!$E$12 + $J5*'Cancel Curves'!$D$12 + $K5*'Cancel Curves'!$C$12 + $L5*'Cancel Curves'!$B$12 + 1844.5846</f>
        <v/>
      </c>
      <c r="M6" s="26">
        <f>$D5*'Cancel Curves'!$K$12 + $E5*'Cancel Curves'!$J$12 + $F5*'Cancel Curves'!$I$12 + $G5*'Cancel Curves'!$H$12 + $H5*'Cancel Curves'!$G$12 + $I5*'Cancel Curves'!$F$12 + $J5*'Cancel Curves'!$E$12 + $K5*'Cancel Curves'!$D$12 + $L5*'Cancel Curves'!$C$12 + $M5*'Cancel Curves'!$B$12 + 1787.5535</f>
        <v/>
      </c>
      <c r="N6" s="26">
        <f>$D5*'Cancel Curves'!$L$12 + $E5*'Cancel Curves'!$K$12 + $F5*'Cancel Curves'!$J$12 + $G5*'Cancel Curves'!$I$12 + $H5*'Cancel Curves'!$H$12 + $I5*'Cancel Curves'!$G$12 + $J5*'Cancel Curves'!$F$12 + $K5*'Cancel Curves'!$E$12 + $L5*'Cancel Curves'!$D$12 + $M5*'Cancel Curves'!$C$12 + $N5*'Cancel Curves'!$B$12 + 1738.7004</f>
        <v/>
      </c>
      <c r="O6" s="26">
        <f>$D5*'Cancel Curves'!$M$12 + $E5*'Cancel Curves'!$L$12 + $F5*'Cancel Curves'!$K$12 + $G5*'Cancel Curves'!$J$12 + $H5*'Cancel Curves'!$I$12 + $I5*'Cancel Curves'!$H$12 + $J5*'Cancel Curves'!$G$12 + $K5*'Cancel Curves'!$F$12 + $L5*'Cancel Curves'!$E$12 + $M5*'Cancel Curves'!$D$12 + $N5*'Cancel Curves'!$C$12 + $O5*'Cancel Curves'!$B$12 + 1694.7890</f>
        <v/>
      </c>
      <c r="P6" s="26">
        <f>$D5*'Cancel Curves'!$N$12 + $E5*'Cancel Curves'!$M$12 + $F5*'Cancel Curves'!$L$12 + $G5*'Cancel Curves'!$K$12 + $H5*'Cancel Curves'!$J$12 + $I5*'Cancel Curves'!$I$12 + $J5*'Cancel Curves'!$H$12 + $K5*'Cancel Curves'!$G$12 + $L5*'Cancel Curves'!$F$12 + $M5*'Cancel Curves'!$E$12 + $N5*'Cancel Curves'!$D$12 + $O5*'Cancel Curves'!$C$12 + $P5*'Cancel Curves'!$B$12 + 1630.5556</f>
        <v/>
      </c>
      <c r="Q6" s="26">
        <f>$D5*'Cancel Curves'!$O$12 + $E5*'Cancel Curves'!$N$12 + $F5*'Cancel Curves'!$M$12 + $G5*'Cancel Curves'!$L$12 + $H5*'Cancel Curves'!$K$12 + $I5*'Cancel Curves'!$J$12 + $J5*'Cancel Curves'!$I$12 + $K5*'Cancel Curves'!$H$12 + $L5*'Cancel Curves'!$G$12 + $M5*'Cancel Curves'!$F$12 + $N5*'Cancel Curves'!$E$12 + $O5*'Cancel Curves'!$D$12 + $P5*'Cancel Curves'!$C$12 + $Q5*'Cancel Curves'!$B$12 + 1571.3076</f>
        <v/>
      </c>
      <c r="R6" s="26">
        <f>$D5*'Cancel Curves'!$P$12 + $E5*'Cancel Curves'!$O$12 + $F5*'Cancel Curves'!$N$12 + $G5*'Cancel Curves'!$M$12 + $H5*'Cancel Curves'!$L$12 + $I5*'Cancel Curves'!$K$12 + $J5*'Cancel Curves'!$J$12 + $K5*'Cancel Curves'!$I$12 + $L5*'Cancel Curves'!$H$12 + $M5*'Cancel Curves'!$G$12 + $N5*'Cancel Curves'!$F$12 + $O5*'Cancel Curves'!$E$12 + $P5*'Cancel Curves'!$D$12 + $Q5*'Cancel Curves'!$C$12 + $R5*'Cancel Curves'!$B$12 + 1517.4782</f>
        <v/>
      </c>
      <c r="S6" s="26">
        <f>$D5*'Cancel Curves'!$Q$12 + $E5*'Cancel Curves'!$P$12 + $F5*'Cancel Curves'!$O$12 + $G5*'Cancel Curves'!$N$12 + $H5*'Cancel Curves'!$M$12 + $I5*'Cancel Curves'!$L$12 + $J5*'Cancel Curves'!$K$12 + $K5*'Cancel Curves'!$J$12 + $L5*'Cancel Curves'!$I$12 + $M5*'Cancel Curves'!$H$12 + $N5*'Cancel Curves'!$G$12 + $O5*'Cancel Curves'!$F$12 + $P5*'Cancel Curves'!$E$12 + $Q5*'Cancel Curves'!$D$12 + $R5*'Cancel Curves'!$C$12 + $S5*'Cancel Curves'!$B$12 + 1474.6752</f>
        <v/>
      </c>
      <c r="T6" s="26">
        <f>$D5*'Cancel Curves'!$R$12 + $E5*'Cancel Curves'!$Q$12 + $F5*'Cancel Curves'!$P$12 + $G5*'Cancel Curves'!$O$12 + $H5*'Cancel Curves'!$N$12 + $I5*'Cancel Curves'!$M$12 + $J5*'Cancel Curves'!$L$12 + $K5*'Cancel Curves'!$K$12 + $L5*'Cancel Curves'!$J$12 + $M5*'Cancel Curves'!$I$12 + $N5*'Cancel Curves'!$H$12 + $O5*'Cancel Curves'!$G$12 + $P5*'Cancel Curves'!$F$12 + $Q5*'Cancel Curves'!$E$12 + $R5*'Cancel Curves'!$D$12 + $S5*'Cancel Curves'!$C$12 + $T5*'Cancel Curves'!$B$12 + 1441.2152</f>
        <v/>
      </c>
      <c r="U6" s="26">
        <f>$D5*'Cancel Curves'!$S$12 + $E5*'Cancel Curves'!$R$12 + $F5*'Cancel Curves'!$Q$12 + $G5*'Cancel Curves'!$P$12 + $H5*'Cancel Curves'!$O$12 + $I5*'Cancel Curves'!$N$12 + $J5*'Cancel Curves'!$M$12 + $K5*'Cancel Curves'!$L$12 + $L5*'Cancel Curves'!$K$12 + $M5*'Cancel Curves'!$J$12 + $N5*'Cancel Curves'!$I$12 + $O5*'Cancel Curves'!$H$12 + $P5*'Cancel Curves'!$G$12 + $Q5*'Cancel Curves'!$F$12 + $R5*'Cancel Curves'!$E$12 + $S5*'Cancel Curves'!$D$12 + $T5*'Cancel Curves'!$C$12 + $U5*'Cancel Curves'!$B$12 + 1380.6631</f>
        <v/>
      </c>
      <c r="V6" s="26">
        <f>$D5*'Cancel Curves'!$T$12 + $E5*'Cancel Curves'!$S$12 + $F5*'Cancel Curves'!$R$12 + $G5*'Cancel Curves'!$Q$12 + $H5*'Cancel Curves'!$P$12 + $I5*'Cancel Curves'!$O$12 + $J5*'Cancel Curves'!$N$12 + $K5*'Cancel Curves'!$M$12 + $L5*'Cancel Curves'!$L$12 + $M5*'Cancel Curves'!$K$12 + $N5*'Cancel Curves'!$J$12 + $O5*'Cancel Curves'!$I$12 + $P5*'Cancel Curves'!$H$12 + $Q5*'Cancel Curves'!$G$12 + $R5*'Cancel Curves'!$F$12 + $S5*'Cancel Curves'!$E$12 + $T5*'Cancel Curves'!$D$12 + $U5*'Cancel Curves'!$C$12 + $V5*'Cancel Curves'!$B$12 + 1296.4167</f>
        <v/>
      </c>
      <c r="W6" s="26">
        <f>$D5*'Cancel Curves'!$U$12 + $E5*'Cancel Curves'!$T$12 + $F5*'Cancel Curves'!$S$12 + $G5*'Cancel Curves'!$R$12 + $H5*'Cancel Curves'!$Q$12 + $I5*'Cancel Curves'!$P$12 + $J5*'Cancel Curves'!$O$12 + $K5*'Cancel Curves'!$N$12 + $L5*'Cancel Curves'!$M$12 + $M5*'Cancel Curves'!$L$12 + $N5*'Cancel Curves'!$K$12 + $O5*'Cancel Curves'!$J$12 + $P5*'Cancel Curves'!$I$12 + $Q5*'Cancel Curves'!$H$12 + $R5*'Cancel Curves'!$G$12 + $S5*'Cancel Curves'!$F$12 + $T5*'Cancel Curves'!$E$12 + $U5*'Cancel Curves'!$D$12 + $V5*'Cancel Curves'!$C$12 + $W5*'Cancel Curves'!$B$12 + 1136.9503</f>
        <v/>
      </c>
      <c r="X6" s="26">
        <f>$D5*'Cancel Curves'!$V$12 + $E5*'Cancel Curves'!$U$12 + $F5*'Cancel Curves'!$T$12 + $G5*'Cancel Curves'!$S$12 + $H5*'Cancel Curves'!$R$12 + $I5*'Cancel Curves'!$Q$12 + $J5*'Cancel Curves'!$P$12 + $K5*'Cancel Curves'!$O$12 + $L5*'Cancel Curves'!$N$12 + $M5*'Cancel Curves'!$M$12 + $N5*'Cancel Curves'!$L$12 + $O5*'Cancel Curves'!$K$12 + $P5*'Cancel Curves'!$J$12 + $Q5*'Cancel Curves'!$I$12 + $R5*'Cancel Curves'!$H$12 + $S5*'Cancel Curves'!$G$12 + $T5*'Cancel Curves'!$F$12 + $U5*'Cancel Curves'!$E$12 + $V5*'Cancel Curves'!$D$12 + $W5*'Cancel Curves'!$C$12 + $X5*'Cancel Curves'!$B$12 + 1043.3014</f>
        <v/>
      </c>
      <c r="Y6" s="26">
        <f>$D5*'Cancel Curves'!$W$12 + $E5*'Cancel Curves'!$V$12 + $F5*'Cancel Curves'!$U$12 + $G5*'Cancel Curves'!$T$12 + $H5*'Cancel Curves'!$S$12 + $I5*'Cancel Curves'!$R$12 + $J5*'Cancel Curves'!$Q$12 + $K5*'Cancel Curves'!$P$12 + $L5*'Cancel Curves'!$O$12 + $M5*'Cancel Curves'!$N$12 + $N5*'Cancel Curves'!$M$12 + $O5*'Cancel Curves'!$L$12 + $P5*'Cancel Curves'!$K$12 + $Q5*'Cancel Curves'!$J$12 + $R5*'Cancel Curves'!$I$12 + $S5*'Cancel Curves'!$H$12 + $T5*'Cancel Curves'!$G$12 + $U5*'Cancel Curves'!$F$12 + $V5*'Cancel Curves'!$E$12 + $W5*'Cancel Curves'!$D$12 + $X5*'Cancel Curves'!$C$12 + $Y5*'Cancel Curves'!$B$12 + 834.9420</f>
        <v/>
      </c>
      <c r="Z6" s="26">
        <f>$D5*'Cancel Curves'!$X$12 + $E5*'Cancel Curves'!$W$12 + $F5*'Cancel Curves'!$V$12 + $G5*'Cancel Curves'!$U$12 + $H5*'Cancel Curves'!$T$12 + $I5*'Cancel Curves'!$S$12 + $J5*'Cancel Curves'!$R$12 + $K5*'Cancel Curves'!$Q$12 + $L5*'Cancel Curves'!$P$12 + $M5*'Cancel Curves'!$O$12 + $N5*'Cancel Curves'!$N$12 + $O5*'Cancel Curves'!$M$12 + $P5*'Cancel Curves'!$L$12 + $Q5*'Cancel Curves'!$K$12 + $R5*'Cancel Curves'!$J$12 + $S5*'Cancel Curves'!$I$12 + $T5*'Cancel Curves'!$H$12 + $U5*'Cancel Curves'!$G$12 + $V5*'Cancel Curves'!$F$12 + $W5*'Cancel Curves'!$E$12 + $X5*'Cancel Curves'!$D$12 + $Y5*'Cancel Curves'!$C$12 + $Z5*'Cancel Curves'!$B$12 + 462.9791</f>
        <v/>
      </c>
      <c r="AA6" s="26">
        <f>$D5*'Cancel Curves'!$Y$12 + $E5*'Cancel Curves'!$X$12 + $F5*'Cancel Curves'!$W$12 + $G5*'Cancel Curves'!$V$12 + $H5*'Cancel Curves'!$U$12 + $I5*'Cancel Curves'!$T$12 + $J5*'Cancel Curves'!$S$12 + $K5*'Cancel Curves'!$R$12 + $L5*'Cancel Curves'!$Q$12 + $M5*'Cancel Curves'!$P$12 + $N5*'Cancel Curves'!$O$12 + $O5*'Cancel Curves'!$N$12 + $P5*'Cancel Curves'!$M$12 + $Q5*'Cancel Curves'!$L$12 + $R5*'Cancel Curves'!$K$12 + $S5*'Cancel Curves'!$J$12 + $T5*'Cancel Curves'!$I$12 + $U5*'Cancel Curves'!$H$12 + $V5*'Cancel Curves'!$G$12 + $W5*'Cancel Curves'!$F$12 + $X5*'Cancel Curves'!$E$12 + $Y5*'Cancel Curves'!$D$12 + $Z5*'Cancel Curves'!$C$12 + $AA5*'Cancel Curves'!$B$12</f>
        <v/>
      </c>
      <c r="AB6" s="26">
        <f>$D5*'Cancel Curves'!$Z$12 + $E5*'Cancel Curves'!$Y$12 + $F5*'Cancel Curves'!$X$12 + $G5*'Cancel Curves'!$W$12 + $H5*'Cancel Curves'!$V$12 + $I5*'Cancel Curves'!$U$12 + $J5*'Cancel Curves'!$T$12 + $K5*'Cancel Curves'!$S$12 + $L5*'Cancel Curves'!$R$12 + $M5*'Cancel Curves'!$Q$12 + $N5*'Cancel Curves'!$P$12 + $O5*'Cancel Curves'!$O$12 + $P5*'Cancel Curves'!$N$12 + $Q5*'Cancel Curves'!$M$12 + $R5*'Cancel Curves'!$L$12 + $S5*'Cancel Curves'!$K$12 + $T5*'Cancel Curves'!$J$12 + $U5*'Cancel Curves'!$I$12 + $V5*'Cancel Curves'!$H$12 + $W5*'Cancel Curves'!$G$12 + $X5*'Cancel Curves'!$F$12 + $Y5*'Cancel Curves'!$E$12 + $Z5*'Cancel Curves'!$D$12 + $AA5*'Cancel Curves'!$C$12 + $AB5*'Cancel Curves'!$B$12</f>
        <v/>
      </c>
      <c r="AC6" s="26">
        <f>$D5*'Cancel Curves'!$AA$12 + $E5*'Cancel Curves'!$Z$12 + $F5*'Cancel Curves'!$Y$12 + $G5*'Cancel Curves'!$X$12 + $H5*'Cancel Curves'!$W$12 + $I5*'Cancel Curves'!$V$12 + $J5*'Cancel Curves'!$U$12 + $K5*'Cancel Curves'!$T$12 + $L5*'Cancel Curves'!$S$12 + $M5*'Cancel Curves'!$R$12 + $N5*'Cancel Curves'!$Q$12 + $O5*'Cancel Curves'!$P$12 + $P5*'Cancel Curves'!$O$12 + $Q5*'Cancel Curves'!$N$12 + $R5*'Cancel Curves'!$M$12 + $S5*'Cancel Curves'!$L$12 + $T5*'Cancel Curves'!$K$12 + $U5*'Cancel Curves'!$J$12 + $V5*'Cancel Curves'!$I$12 + $W5*'Cancel Curves'!$H$12 + $X5*'Cancel Curves'!$G$12 + $Y5*'Cancel Curves'!$F$12 + $Z5*'Cancel Curves'!$E$12 + $AA5*'Cancel Curves'!$D$12 + $AB5*'Cancel Curves'!$C$12 + $AC5*'Cancel Curves'!$B$12</f>
        <v/>
      </c>
      <c r="AD6" s="26">
        <f>$D5*'Cancel Curves'!$AB$12 + $E5*'Cancel Curves'!$AA$12 + $F5*'Cancel Curves'!$Z$12 + $G5*'Cancel Curves'!$Y$12 + $H5*'Cancel Curves'!$X$12 + $I5*'Cancel Curves'!$W$12 + $J5*'Cancel Curves'!$V$12 + $K5*'Cancel Curves'!$U$12 + $L5*'Cancel Curves'!$T$12 + $M5*'Cancel Curves'!$S$12 + $N5*'Cancel Curves'!$R$12 + $O5*'Cancel Curves'!$Q$12 + $P5*'Cancel Curves'!$P$12 + $Q5*'Cancel Curves'!$O$12 + $R5*'Cancel Curves'!$N$12 + $S5*'Cancel Curves'!$M$12 + $T5*'Cancel Curves'!$L$12 + $U5*'Cancel Curves'!$K$12 + $V5*'Cancel Curves'!$J$12 + $W5*'Cancel Curves'!$I$12 + $X5*'Cancel Curves'!$H$12 + $Y5*'Cancel Curves'!$G$12 + $Z5*'Cancel Curves'!$F$12 + $AA5*'Cancel Curves'!$E$12 + $AB5*'Cancel Curves'!$D$12 + $AC5*'Cancel Curves'!$C$12 + $AD5*'Cancel Curves'!$B$12</f>
        <v/>
      </c>
      <c r="AE6" s="26">
        <f>$D5*'Cancel Curves'!$AC$12 + $E5*'Cancel Curves'!$AB$12 + $F5*'Cancel Curves'!$AA$12 + $G5*'Cancel Curves'!$Z$12 + $H5*'Cancel Curves'!$Y$12 + $I5*'Cancel Curves'!$X$12 + $J5*'Cancel Curves'!$W$12 + $K5*'Cancel Curves'!$V$12 + $L5*'Cancel Curves'!$U$12 + $M5*'Cancel Curves'!$T$12 + $N5*'Cancel Curves'!$S$12 + $O5*'Cancel Curves'!$R$12 + $P5*'Cancel Curves'!$Q$12 + $Q5*'Cancel Curves'!$P$12 + $R5*'Cancel Curves'!$O$12 + $S5*'Cancel Curves'!$N$12 + $T5*'Cancel Curves'!$M$12 + $U5*'Cancel Curves'!$L$12 + $V5*'Cancel Curves'!$K$12 + $W5*'Cancel Curves'!$J$12 + $X5*'Cancel Curves'!$I$12 + $Y5*'Cancel Curves'!$H$12 + $Z5*'Cancel Curves'!$G$12 + $AA5*'Cancel Curves'!$F$12 + $AB5*'Cancel Curves'!$E$12 + $AC5*'Cancel Curves'!$D$12 + $AD5*'Cancel Curves'!$C$12 + $AE5*'Cancel Curves'!$B$12</f>
        <v/>
      </c>
      <c r="AF6" s="26">
        <f>$D5*'Cancel Curves'!$AD$12 + $E5*'Cancel Curves'!$AC$12 + $F5*'Cancel Curves'!$AB$12 + $G5*'Cancel Curves'!$AA$12 + $H5*'Cancel Curves'!$Z$12 + $I5*'Cancel Curves'!$Y$12 + $J5*'Cancel Curves'!$X$12 + $K5*'Cancel Curves'!$W$12 + $L5*'Cancel Curves'!$V$12 + $M5*'Cancel Curves'!$U$12 + $N5*'Cancel Curves'!$T$12 + $O5*'Cancel Curves'!$S$12 + $P5*'Cancel Curves'!$R$12 + $Q5*'Cancel Curves'!$Q$12 + $R5*'Cancel Curves'!$P$12 + $S5*'Cancel Curves'!$O$12 + $T5*'Cancel Curves'!$N$12 + $U5*'Cancel Curves'!$M$12 + $V5*'Cancel Curves'!$L$12 + $W5*'Cancel Curves'!$K$12 + $X5*'Cancel Curves'!$J$12 + $Y5*'Cancel Curves'!$I$12 + $Z5*'Cancel Curves'!$H$12 + $AA5*'Cancel Curves'!$G$12 + $AB5*'Cancel Curves'!$F$12 + $AC5*'Cancel Curves'!$E$12 + $AD5*'Cancel Curves'!$D$12 + $AE5*'Cancel Curves'!$C$12 + $AF5*'Cancel Curves'!$B$12</f>
        <v/>
      </c>
      <c r="AG6" s="26">
        <f>$D5*'Cancel Curves'!$AE$12 + $E5*'Cancel Curves'!$AD$12 + $F5*'Cancel Curves'!$AC$12 + $G5*'Cancel Curves'!$AB$12 + $H5*'Cancel Curves'!$AA$12 + $I5*'Cancel Curves'!$Z$12 + $J5*'Cancel Curves'!$Y$12 + $K5*'Cancel Curves'!$X$12 + $L5*'Cancel Curves'!$W$12 + $M5*'Cancel Curves'!$V$12 + $N5*'Cancel Curves'!$U$12 + $O5*'Cancel Curves'!$T$12 + $P5*'Cancel Curves'!$S$12 + $Q5*'Cancel Curves'!$R$12 + $R5*'Cancel Curves'!$Q$12 + $S5*'Cancel Curves'!$P$12 + $T5*'Cancel Curves'!$O$12 + $U5*'Cancel Curves'!$N$12 + $V5*'Cancel Curves'!$M$12 + $W5*'Cancel Curves'!$L$12 + $X5*'Cancel Curves'!$K$12 + $Y5*'Cancel Curves'!$J$12 + $Z5*'Cancel Curves'!$I$12 + $AA5*'Cancel Curves'!$H$12 + $AB5*'Cancel Curves'!$G$12 + $AC5*'Cancel Curves'!$F$12 + $AD5*'Cancel Curves'!$E$12 + $AE5*'Cancel Curves'!$D$12 + $AF5*'Cancel Curves'!$C$12 + $AG5*'Cancel Curves'!$B$12</f>
        <v/>
      </c>
      <c r="AH6" s="26">
        <f>$E5*'Cancel Curves'!$AE$12 + $F5*'Cancel Curves'!$AD$12 + $G5*'Cancel Curves'!$AC$12 + $H5*'Cancel Curves'!$AB$12 + $I5*'Cancel Curves'!$AA$12 + $J5*'Cancel Curves'!$Z$12 + $K5*'Cancel Curves'!$Y$12 + $L5*'Cancel Curves'!$X$12 + $M5*'Cancel Curves'!$W$12 + $N5*'Cancel Curves'!$V$12 + $O5*'Cancel Curves'!$U$12 + $P5*'Cancel Curves'!$T$12 + $Q5*'Cancel Curves'!$S$12 + $R5*'Cancel Curves'!$R$12 + $S5*'Cancel Curves'!$Q$12 + $T5*'Cancel Curves'!$P$12 + $U5*'Cancel Curves'!$O$12 + $V5*'Cancel Curves'!$N$12 + $W5*'Cancel Curves'!$M$12 + $X5*'Cancel Curves'!$L$12 + $Y5*'Cancel Curves'!$K$12 + $Z5*'Cancel Curves'!$J$12 + $AA5*'Cancel Curves'!$I$12 + $AB5*'Cancel Curves'!$H$12 + $AC5*'Cancel Curves'!$G$12 + $AD5*'Cancel Curves'!$F$12 + $AE5*'Cancel Curves'!$E$12 + $AF5*'Cancel Curves'!$D$12 + $AG5*'Cancel Curves'!$C$12 + $AH5*'Cancel Curves'!$B$12</f>
        <v/>
      </c>
      <c r="AI6" s="26">
        <f>$F5*'Cancel Curves'!$AE$12 + $G5*'Cancel Curves'!$AD$12 + $H5*'Cancel Curves'!$AC$12 + $I5*'Cancel Curves'!$AB$12 + $J5*'Cancel Curves'!$AA$12 + $K5*'Cancel Curves'!$Z$12 + $L5*'Cancel Curves'!$Y$12 + $M5*'Cancel Curves'!$X$12 + $N5*'Cancel Curves'!$W$12 + $O5*'Cancel Curves'!$V$12 + $P5*'Cancel Curves'!$U$12 + $Q5*'Cancel Curves'!$T$12 + $R5*'Cancel Curves'!$S$12 + $S5*'Cancel Curves'!$R$12 + $T5*'Cancel Curves'!$Q$12 + $U5*'Cancel Curves'!$P$12 + $V5*'Cancel Curves'!$O$12 + $W5*'Cancel Curves'!$N$12 + $X5*'Cancel Curves'!$M$12 + $Y5*'Cancel Curves'!$L$12 + $Z5*'Cancel Curves'!$K$12 + $AA5*'Cancel Curves'!$J$12 + $AB5*'Cancel Curves'!$I$12 + $AC5*'Cancel Curves'!$H$12 + $AD5*'Cancel Curves'!$G$12 + $AE5*'Cancel Curves'!$F$12 + $AF5*'Cancel Curves'!$E$12 + $AG5*'Cancel Curves'!$D$12 + $AH5*'Cancel Curves'!$C$12 + $AI5*'Cancel Curves'!$B$12</f>
        <v/>
      </c>
      <c r="AJ6" s="26">
        <f>$G5*'Cancel Curves'!$AE$12 + $H5*'Cancel Curves'!$AD$12 + $I5*'Cancel Curves'!$AC$12 + $J5*'Cancel Curves'!$AB$12 + $K5*'Cancel Curves'!$AA$12 + $L5*'Cancel Curves'!$Z$12 + $M5*'Cancel Curves'!$Y$12 + $N5*'Cancel Curves'!$X$12 + $O5*'Cancel Curves'!$W$12 + $P5*'Cancel Curves'!$V$12 + $Q5*'Cancel Curves'!$U$12 + $R5*'Cancel Curves'!$T$12 + $S5*'Cancel Curves'!$S$12 + $T5*'Cancel Curves'!$R$12 + $U5*'Cancel Curves'!$Q$12 + $V5*'Cancel Curves'!$P$12 + $W5*'Cancel Curves'!$O$12 + $X5*'Cancel Curves'!$N$12 + $Y5*'Cancel Curves'!$M$12 + $Z5*'Cancel Curves'!$L$12 + $AA5*'Cancel Curves'!$K$12 + $AB5*'Cancel Curves'!$J$12 + $AC5*'Cancel Curves'!$I$12 + $AD5*'Cancel Curves'!$H$12 + $AE5*'Cancel Curves'!$G$12 + $AF5*'Cancel Curves'!$F$12 + $AG5*'Cancel Curves'!$E$12 + $AH5*'Cancel Curves'!$D$12 + $AI5*'Cancel Curves'!$C$12 + $AJ5*'Cancel Curves'!$B$12</f>
        <v/>
      </c>
      <c r="AK6" s="26">
        <f>$H5*'Cancel Curves'!$AE$12 + $I5*'Cancel Curves'!$AD$12 + $J5*'Cancel Curves'!$AC$12 + $K5*'Cancel Curves'!$AB$12 + $L5*'Cancel Curves'!$AA$12 + $M5*'Cancel Curves'!$Z$12 + $N5*'Cancel Curves'!$Y$12 + $O5*'Cancel Curves'!$X$12 + $P5*'Cancel Curves'!$W$12 + $Q5*'Cancel Curves'!$V$12 + $R5*'Cancel Curves'!$U$12 + $S5*'Cancel Curves'!$T$12 + $T5*'Cancel Curves'!$S$12 + $U5*'Cancel Curves'!$R$12 + $V5*'Cancel Curves'!$Q$12 + $W5*'Cancel Curves'!$P$12 + $X5*'Cancel Curves'!$O$12 + $Y5*'Cancel Curves'!$N$12 + $Z5*'Cancel Curves'!$M$12 + $AA5*'Cancel Curves'!$L$12 + $AB5*'Cancel Curves'!$K$12 + $AC5*'Cancel Curves'!$J$12 + $AD5*'Cancel Curves'!$I$12 + $AE5*'Cancel Curves'!$H$12 + $AF5*'Cancel Curves'!$G$12 + $AG5*'Cancel Curves'!$F$12 + $AH5*'Cancel Curves'!$E$12 + $AI5*'Cancel Curves'!$D$12 + $AJ5*'Cancel Curves'!$C$12 + $AK5*'Cancel Curves'!$B$12</f>
        <v/>
      </c>
      <c r="AL6" s="26">
        <f>$I5*'Cancel Curves'!$AE$12 + $J5*'Cancel Curves'!$AD$12 + $K5*'Cancel Curves'!$AC$12 + $L5*'Cancel Curves'!$AB$12 + $M5*'Cancel Curves'!$AA$12 + $N5*'Cancel Curves'!$Z$12 + $O5*'Cancel Curves'!$Y$12 + $P5*'Cancel Curves'!$X$12 + $Q5*'Cancel Curves'!$W$12 + $R5*'Cancel Curves'!$V$12 + $S5*'Cancel Curves'!$U$12 + $T5*'Cancel Curves'!$T$12 + $U5*'Cancel Curves'!$S$12 + $V5*'Cancel Curves'!$R$12 + $W5*'Cancel Curves'!$Q$12 + $X5*'Cancel Curves'!$P$12 + $Y5*'Cancel Curves'!$O$12 + $Z5*'Cancel Curves'!$N$12 + $AA5*'Cancel Curves'!$M$12 + $AB5*'Cancel Curves'!$L$12 + $AC5*'Cancel Curves'!$K$12 + $AD5*'Cancel Curves'!$J$12 + $AE5*'Cancel Curves'!$I$12 + $AF5*'Cancel Curves'!$H$12 + $AG5*'Cancel Curves'!$G$12 + $AH5*'Cancel Curves'!$F$12 + $AI5*'Cancel Curves'!$E$12 + $AJ5*'Cancel Curves'!$D$12 + $AK5*'Cancel Curves'!$C$12 + $AL5*'Cancel Curves'!$B$12</f>
        <v/>
      </c>
      <c r="AM6" s="26">
        <f>$J5*'Cancel Curves'!$AE$12 + $K5*'Cancel Curves'!$AD$12 + $L5*'Cancel Curves'!$AC$12 + $M5*'Cancel Curves'!$AB$12 + $N5*'Cancel Curves'!$AA$12 + $O5*'Cancel Curves'!$Z$12 + $P5*'Cancel Curves'!$Y$12 + $Q5*'Cancel Curves'!$X$12 + $R5*'Cancel Curves'!$W$12 + $S5*'Cancel Curves'!$V$12 + $T5*'Cancel Curves'!$U$12 + $U5*'Cancel Curves'!$T$12 + $V5*'Cancel Curves'!$S$12 + $W5*'Cancel Curves'!$R$12 + $X5*'Cancel Curves'!$Q$12 + $Y5*'Cancel Curves'!$P$12 + $Z5*'Cancel Curves'!$O$12 + $AA5*'Cancel Curves'!$N$12 + $AB5*'Cancel Curves'!$M$12 + $AC5*'Cancel Curves'!$L$12 + $AD5*'Cancel Curves'!$K$12 + $AE5*'Cancel Curves'!$J$12 + $AF5*'Cancel Curves'!$I$12 + $AG5*'Cancel Curves'!$H$12 + $AH5*'Cancel Curves'!$G$12 + $AI5*'Cancel Curves'!$F$12 + $AJ5*'Cancel Curves'!$E$12 + $AK5*'Cancel Curves'!$D$12 + $AL5*'Cancel Curves'!$C$12 + $AM5*'Cancel Curves'!$B$12</f>
        <v/>
      </c>
      <c r="AN6" s="26">
        <f>$K5*'Cancel Curves'!$AE$12 + $L5*'Cancel Curves'!$AD$12 + $M5*'Cancel Curves'!$AC$12 + $N5*'Cancel Curves'!$AB$12 + $O5*'Cancel Curves'!$AA$12 + $P5*'Cancel Curves'!$Z$12 + $Q5*'Cancel Curves'!$Y$12 + $R5*'Cancel Curves'!$X$12 + $S5*'Cancel Curves'!$W$12 + $T5*'Cancel Curves'!$V$12 + $U5*'Cancel Curves'!$U$12 + $V5*'Cancel Curves'!$T$12 + $W5*'Cancel Curves'!$S$12 + $X5*'Cancel Curves'!$R$12 + $Y5*'Cancel Curves'!$Q$12 + $Z5*'Cancel Curves'!$P$12 + $AA5*'Cancel Curves'!$O$12 + $AB5*'Cancel Curves'!$N$12 + $AC5*'Cancel Curves'!$M$12 + $AD5*'Cancel Curves'!$L$12 + $AE5*'Cancel Curves'!$K$12 + $AF5*'Cancel Curves'!$J$12 + $AG5*'Cancel Curves'!$I$12 + $AH5*'Cancel Curves'!$H$12 + $AI5*'Cancel Curves'!$G$12 + $AJ5*'Cancel Curves'!$F$12 + $AK5*'Cancel Curves'!$E$12 + $AL5*'Cancel Curves'!$D$12 + $AM5*'Cancel Curves'!$C$12 + $AN5*'Cancel Curves'!$B$12</f>
        <v/>
      </c>
      <c r="AO6" s="26">
        <f>$L5*'Cancel Curves'!$AE$12 + $M5*'Cancel Curves'!$AD$12 + $N5*'Cancel Curves'!$AC$12 + $O5*'Cancel Curves'!$AB$12 + $P5*'Cancel Curves'!$AA$12 + $Q5*'Cancel Curves'!$Z$12 + $R5*'Cancel Curves'!$Y$12 + $S5*'Cancel Curves'!$X$12 + $T5*'Cancel Curves'!$W$12 + $U5*'Cancel Curves'!$V$12 + $V5*'Cancel Curves'!$U$12 + $W5*'Cancel Curves'!$T$12 + $X5*'Cancel Curves'!$S$12 + $Y5*'Cancel Curves'!$R$12 + $Z5*'Cancel Curves'!$Q$12 + $AA5*'Cancel Curves'!$P$12 + $AB5*'Cancel Curves'!$O$12 + $AC5*'Cancel Curves'!$N$12 + $AD5*'Cancel Curves'!$M$12 + $AE5*'Cancel Curves'!$L$12 + $AF5*'Cancel Curves'!$K$12 + $AG5*'Cancel Curves'!$J$12 + $AH5*'Cancel Curves'!$I$12 + $AI5*'Cancel Curves'!$H$12 + $AJ5*'Cancel Curves'!$G$12 + $AK5*'Cancel Curves'!$F$12 + $AL5*'Cancel Curves'!$E$12 + $AM5*'Cancel Curves'!$D$12 + $AN5*'Cancel Curves'!$C$12 + $AO5*'Cancel Curves'!$B$12</f>
        <v/>
      </c>
      <c r="AP6" s="26">
        <f>$M5*'Cancel Curves'!$AE$12 + $N5*'Cancel Curves'!$AD$12 + $O5*'Cancel Curves'!$AC$12 + $P5*'Cancel Curves'!$AB$12 + $Q5*'Cancel Curves'!$AA$12 + $R5*'Cancel Curves'!$Z$12 + $S5*'Cancel Curves'!$Y$12 + $T5*'Cancel Curves'!$X$12 + $U5*'Cancel Curves'!$W$12 + $V5*'Cancel Curves'!$V$12 + $W5*'Cancel Curves'!$U$12 + $X5*'Cancel Curves'!$T$12 + $Y5*'Cancel Curves'!$S$12 + $Z5*'Cancel Curves'!$R$12 + $AA5*'Cancel Curves'!$Q$12 + $AB5*'Cancel Curves'!$P$12 + $AC5*'Cancel Curves'!$O$12 + $AD5*'Cancel Curves'!$N$12 + $AE5*'Cancel Curves'!$M$12 + $AF5*'Cancel Curves'!$L$12 + $AG5*'Cancel Curves'!$K$12 + $AH5*'Cancel Curves'!$J$12 + $AI5*'Cancel Curves'!$I$12 + $AJ5*'Cancel Curves'!$H$12 + $AK5*'Cancel Curves'!$G$12 + $AL5*'Cancel Curves'!$F$12 + $AM5*'Cancel Curves'!$E$12 + $AN5*'Cancel Curves'!$D$12 + $AO5*'Cancel Curves'!$C$12 + $AP5*'Cancel Curves'!$B$12</f>
        <v/>
      </c>
      <c r="AQ6" s="26">
        <f>$N5*'Cancel Curves'!$AE$12 + $O5*'Cancel Curves'!$AD$12 + $P5*'Cancel Curves'!$AC$12 + $Q5*'Cancel Curves'!$AB$12 + $R5*'Cancel Curves'!$AA$12 + $S5*'Cancel Curves'!$Z$12 + $T5*'Cancel Curves'!$Y$12 + $U5*'Cancel Curves'!$X$12 + $V5*'Cancel Curves'!$W$12 + $W5*'Cancel Curves'!$V$12 + $X5*'Cancel Curves'!$U$12 + $Y5*'Cancel Curves'!$T$12 + $Z5*'Cancel Curves'!$S$12 + $AA5*'Cancel Curves'!$R$12 + $AB5*'Cancel Curves'!$Q$12 + $AC5*'Cancel Curves'!$P$12 + $AD5*'Cancel Curves'!$O$12 + $AE5*'Cancel Curves'!$N$12 + $AF5*'Cancel Curves'!$M$12 + $AG5*'Cancel Curves'!$L$12 + $AH5*'Cancel Curves'!$K$12 + $AI5*'Cancel Curves'!$J$12 + $AJ5*'Cancel Curves'!$I$12 + $AK5*'Cancel Curves'!$H$12 + $AL5*'Cancel Curves'!$G$12 + $AM5*'Cancel Curves'!$F$12 + $AN5*'Cancel Curves'!$E$12 + $AO5*'Cancel Curves'!$D$12 + $AP5*'Cancel Curves'!$C$12 + $AQ5*'Cancel Curves'!$B$12</f>
        <v/>
      </c>
      <c r="AR6" s="26">
        <f>$O5*'Cancel Curves'!$AE$12 + $P5*'Cancel Curves'!$AD$12 + $Q5*'Cancel Curves'!$AC$12 + $R5*'Cancel Curves'!$AB$12 + $S5*'Cancel Curves'!$AA$12 + $T5*'Cancel Curves'!$Z$12 + $U5*'Cancel Curves'!$Y$12 + $V5*'Cancel Curves'!$X$12 + $W5*'Cancel Curves'!$W$12 + $X5*'Cancel Curves'!$V$12 + $Y5*'Cancel Curves'!$U$12 + $Z5*'Cancel Curves'!$T$12 + $AA5*'Cancel Curves'!$S$12 + $AB5*'Cancel Curves'!$R$12 + $AC5*'Cancel Curves'!$Q$12 + $AD5*'Cancel Curves'!$P$12 + $AE5*'Cancel Curves'!$O$12 + $AF5*'Cancel Curves'!$N$12 + $AG5*'Cancel Curves'!$M$12 + $AH5*'Cancel Curves'!$L$12 + $AI5*'Cancel Curves'!$K$12 + $AJ5*'Cancel Curves'!$J$12 + $AK5*'Cancel Curves'!$I$12 + $AL5*'Cancel Curves'!$H$12 + $AM5*'Cancel Curves'!$G$12 + $AN5*'Cancel Curves'!$F$12 + $AO5*'Cancel Curves'!$E$12 + $AP5*'Cancel Curves'!$D$12 + $AQ5*'Cancel Curves'!$C$12 + $AR5*'Cancel Curves'!$B$12</f>
        <v/>
      </c>
      <c r="AS6" s="26">
        <f>$P5*'Cancel Curves'!$AE$12 + $Q5*'Cancel Curves'!$AD$12 + $R5*'Cancel Curves'!$AC$12 + $S5*'Cancel Curves'!$AB$12 + $T5*'Cancel Curves'!$AA$12 + $U5*'Cancel Curves'!$Z$12 + $V5*'Cancel Curves'!$Y$12 + $W5*'Cancel Curves'!$X$12 + $X5*'Cancel Curves'!$W$12 + $Y5*'Cancel Curves'!$V$12 + $Z5*'Cancel Curves'!$U$12 + $AA5*'Cancel Curves'!$T$12 + $AB5*'Cancel Curves'!$S$12 + $AC5*'Cancel Curves'!$R$12 + $AD5*'Cancel Curves'!$Q$12 + $AE5*'Cancel Curves'!$P$12 + $AF5*'Cancel Curves'!$O$12 + $AG5*'Cancel Curves'!$N$12 + $AH5*'Cancel Curves'!$M$12 + $AI5*'Cancel Curves'!$L$12 + $AJ5*'Cancel Curves'!$K$12 + $AK5*'Cancel Curves'!$J$12 + $AL5*'Cancel Curves'!$I$12 + $AM5*'Cancel Curves'!$H$12 + $AN5*'Cancel Curves'!$G$12 + $AO5*'Cancel Curves'!$F$12 + $AP5*'Cancel Curves'!$E$12 + $AQ5*'Cancel Curves'!$D$12 + $AR5*'Cancel Curves'!$C$12 + $AS5*'Cancel Curves'!$B$12</f>
        <v/>
      </c>
      <c r="AT6" s="26">
        <f>$Q5*'Cancel Curves'!$AE$12 + $R5*'Cancel Curves'!$AD$12 + $S5*'Cancel Curves'!$AC$12 + $T5*'Cancel Curves'!$AB$12 + $U5*'Cancel Curves'!$AA$12 + $V5*'Cancel Curves'!$Z$12 + $W5*'Cancel Curves'!$Y$12 + $X5*'Cancel Curves'!$X$12 + $Y5*'Cancel Curves'!$W$12 + $Z5*'Cancel Curves'!$V$12 + $AA5*'Cancel Curves'!$U$12 + $AB5*'Cancel Curves'!$T$12 + $AC5*'Cancel Curves'!$S$12 + $AD5*'Cancel Curves'!$R$12 + $AE5*'Cancel Curves'!$Q$12 + $AF5*'Cancel Curves'!$P$12 + $AG5*'Cancel Curves'!$O$12 + $AH5*'Cancel Curves'!$N$12 + $AI5*'Cancel Curves'!$M$12 + $AJ5*'Cancel Curves'!$L$12 + $AK5*'Cancel Curves'!$K$12 + $AL5*'Cancel Curves'!$J$12 + $AM5*'Cancel Curves'!$I$12 + $AN5*'Cancel Curves'!$H$12 + $AO5*'Cancel Curves'!$G$12 + $AP5*'Cancel Curves'!$F$12 + $AQ5*'Cancel Curves'!$E$12 + $AR5*'Cancel Curves'!$D$12 + $AS5*'Cancel Curves'!$C$12 + $AT5*'Cancel Curves'!$B$12</f>
        <v/>
      </c>
      <c r="AU6" s="26">
        <f>$R5*'Cancel Curves'!$AE$12 + $S5*'Cancel Curves'!$AD$12 + $T5*'Cancel Curves'!$AC$12 + $U5*'Cancel Curves'!$AB$12 + $V5*'Cancel Curves'!$AA$12 + $W5*'Cancel Curves'!$Z$12 + $X5*'Cancel Curves'!$Y$12 + $Y5*'Cancel Curves'!$X$12 + $Z5*'Cancel Curves'!$W$12 + $AA5*'Cancel Curves'!$V$12 + $AB5*'Cancel Curves'!$U$12 + $AC5*'Cancel Curves'!$T$12 + $AD5*'Cancel Curves'!$S$12 + $AE5*'Cancel Curves'!$R$12 + $AF5*'Cancel Curves'!$Q$12 + $AG5*'Cancel Curves'!$P$12 + $AH5*'Cancel Curves'!$O$12 + $AI5*'Cancel Curves'!$N$12 + $AJ5*'Cancel Curves'!$M$12 + $AK5*'Cancel Curves'!$L$12 + $AL5*'Cancel Curves'!$K$12 + $AM5*'Cancel Curves'!$J$12 + $AN5*'Cancel Curves'!$I$12 + $AO5*'Cancel Curves'!$H$12 + $AP5*'Cancel Curves'!$G$12 + $AQ5*'Cancel Curves'!$F$12 + $AR5*'Cancel Curves'!$E$12 + $AS5*'Cancel Curves'!$D$12 + $AT5*'Cancel Curves'!$C$12 + $AU5*'Cancel Curves'!$B$12</f>
        <v/>
      </c>
      <c r="AV6" s="26">
        <f>$S5*'Cancel Curves'!$AE$12 + $T5*'Cancel Curves'!$AD$12 + $U5*'Cancel Curves'!$AC$12 + $V5*'Cancel Curves'!$AB$12 + $W5*'Cancel Curves'!$AA$12 + $X5*'Cancel Curves'!$Z$12 + $Y5*'Cancel Curves'!$Y$12 + $Z5*'Cancel Curves'!$X$12 + $AA5*'Cancel Curves'!$W$12 + $AB5*'Cancel Curves'!$V$12 + $AC5*'Cancel Curves'!$U$12 + $AD5*'Cancel Curves'!$T$12 + $AE5*'Cancel Curves'!$S$12 + $AF5*'Cancel Curves'!$R$12 + $AG5*'Cancel Curves'!$Q$12 + $AH5*'Cancel Curves'!$P$12 + $AI5*'Cancel Curves'!$O$12 + $AJ5*'Cancel Curves'!$N$12 + $AK5*'Cancel Curves'!$M$12 + $AL5*'Cancel Curves'!$L$12 + $AM5*'Cancel Curves'!$K$12 + $AN5*'Cancel Curves'!$J$12 + $AO5*'Cancel Curves'!$I$12 + $AP5*'Cancel Curves'!$H$12 + $AQ5*'Cancel Curves'!$G$12 + $AR5*'Cancel Curves'!$F$12 + $AS5*'Cancel Curves'!$E$12 + $AT5*'Cancel Curves'!$D$12 + $AU5*'Cancel Curves'!$C$12 + $AV5*'Cancel Curves'!$B$12</f>
        <v/>
      </c>
      <c r="AW6" s="26">
        <f>$T5*'Cancel Curves'!$AE$12 + $U5*'Cancel Curves'!$AD$12 + $V5*'Cancel Curves'!$AC$12 + $W5*'Cancel Curves'!$AB$12 + $X5*'Cancel Curves'!$AA$12 + $Y5*'Cancel Curves'!$Z$12 + $Z5*'Cancel Curves'!$Y$12 + $AA5*'Cancel Curves'!$X$12 + $AB5*'Cancel Curves'!$W$12 + $AC5*'Cancel Curves'!$V$12 + $AD5*'Cancel Curves'!$U$12 + $AE5*'Cancel Curves'!$T$12 + $AF5*'Cancel Curves'!$S$12 + $AG5*'Cancel Curves'!$R$12 + $AH5*'Cancel Curves'!$Q$12 + $AI5*'Cancel Curves'!$P$12 + $AJ5*'Cancel Curves'!$O$12 + $AK5*'Cancel Curves'!$N$12 + $AL5*'Cancel Curves'!$M$12 + $AM5*'Cancel Curves'!$L$12 + $AN5*'Cancel Curves'!$K$12 + $AO5*'Cancel Curves'!$J$12 + $AP5*'Cancel Curves'!$I$12 + $AQ5*'Cancel Curves'!$H$12 + $AR5*'Cancel Curves'!$G$12 + $AS5*'Cancel Curves'!$F$12 + $AT5*'Cancel Curves'!$E$12 + $AU5*'Cancel Curves'!$D$12 + $AV5*'Cancel Curves'!$C$12 + $AW5*'Cancel Curves'!$B$12</f>
        <v/>
      </c>
      <c r="AX6" s="26">
        <f>$U5*'Cancel Curves'!$AE$12 + $V5*'Cancel Curves'!$AD$12 + $W5*'Cancel Curves'!$AC$12 + $X5*'Cancel Curves'!$AB$12 + $Y5*'Cancel Curves'!$AA$12 + $Z5*'Cancel Curves'!$Z$12 + $AA5*'Cancel Curves'!$Y$12 + $AB5*'Cancel Curves'!$X$12 + $AC5*'Cancel Curves'!$W$12 + $AD5*'Cancel Curves'!$V$12 + $AE5*'Cancel Curves'!$U$12 + $AF5*'Cancel Curves'!$T$12 + $AG5*'Cancel Curves'!$S$12 + $AH5*'Cancel Curves'!$R$12 + $AI5*'Cancel Curves'!$Q$12 + $AJ5*'Cancel Curves'!$P$12 + $AK5*'Cancel Curves'!$O$12 + $AL5*'Cancel Curves'!$N$12 + $AM5*'Cancel Curves'!$M$12 + $AN5*'Cancel Curves'!$L$12 + $AO5*'Cancel Curves'!$K$12 + $AP5*'Cancel Curves'!$J$12 + $AQ5*'Cancel Curves'!$I$12 + $AR5*'Cancel Curves'!$H$12 + $AS5*'Cancel Curves'!$G$12 + $AT5*'Cancel Curves'!$F$12 + $AU5*'Cancel Curves'!$E$12 + $AV5*'Cancel Curves'!$D$12 + $AW5*'Cancel Curves'!$C$12 + $AX5*'Cancel Curves'!$B$12</f>
        <v/>
      </c>
      <c r="AY6" s="26">
        <f>$V5*'Cancel Curves'!$AE$12 + $W5*'Cancel Curves'!$AD$12 + $X5*'Cancel Curves'!$AC$12 + $Y5*'Cancel Curves'!$AB$12 + $Z5*'Cancel Curves'!$AA$12 + $AA5*'Cancel Curves'!$Z$12 + $AB5*'Cancel Curves'!$Y$12 + $AC5*'Cancel Curves'!$X$12 + $AD5*'Cancel Curves'!$W$12 + $AE5*'Cancel Curves'!$V$12 + $AF5*'Cancel Curves'!$U$12 + $AG5*'Cancel Curves'!$T$12 + $AH5*'Cancel Curves'!$S$12 + $AI5*'Cancel Curves'!$R$12 + $AJ5*'Cancel Curves'!$Q$12 + $AK5*'Cancel Curves'!$P$12 + $AL5*'Cancel Curves'!$O$12 + $AM5*'Cancel Curves'!$N$12 + $AN5*'Cancel Curves'!$M$12 + $AO5*'Cancel Curves'!$L$12 + $AP5*'Cancel Curves'!$K$12 + $AQ5*'Cancel Curves'!$J$12 + $AR5*'Cancel Curves'!$I$12 + $AS5*'Cancel Curves'!$H$12 + $AT5*'Cancel Curves'!$G$12 + $AU5*'Cancel Curves'!$F$12 + $AV5*'Cancel Curves'!$E$12 + $AW5*'Cancel Curves'!$D$12 + $AX5*'Cancel Curves'!$C$12 + $AY5*'Cancel Curves'!$B$12</f>
        <v/>
      </c>
      <c r="AZ6" s="26">
        <f>$W5*'Cancel Curves'!$AE$12 + $X5*'Cancel Curves'!$AD$12 + $Y5*'Cancel Curves'!$AC$12 + $Z5*'Cancel Curves'!$AB$12 + $AA5*'Cancel Curves'!$AA$12 + $AB5*'Cancel Curves'!$Z$12 + $AC5*'Cancel Curves'!$Y$12 + $AD5*'Cancel Curves'!$X$12 + $AE5*'Cancel Curves'!$W$12 + $AF5*'Cancel Curves'!$V$12 + $AG5*'Cancel Curves'!$U$12 + $AH5*'Cancel Curves'!$T$12 + $AI5*'Cancel Curves'!$S$12 + $AJ5*'Cancel Curves'!$R$12 + $AK5*'Cancel Curves'!$Q$12 + $AL5*'Cancel Curves'!$P$12 + $AM5*'Cancel Curves'!$O$12 + $AN5*'Cancel Curves'!$N$12 + $AO5*'Cancel Curves'!$M$12 + $AP5*'Cancel Curves'!$L$12 + $AQ5*'Cancel Curves'!$K$12 + $AR5*'Cancel Curves'!$J$12 + $AS5*'Cancel Curves'!$I$12 + $AT5*'Cancel Curves'!$H$12 + $AU5*'Cancel Curves'!$G$12 + $AV5*'Cancel Curves'!$F$12 + $AW5*'Cancel Curves'!$E$12 + $AX5*'Cancel Curves'!$D$12 + $AY5*'Cancel Curves'!$C$12 + $AZ5*'Cancel Curves'!$B$12</f>
        <v/>
      </c>
      <c r="BA6" s="26">
        <f>$X5*'Cancel Curves'!$AE$12 + $Y5*'Cancel Curves'!$AD$12 + $Z5*'Cancel Curves'!$AC$12 + $AA5*'Cancel Curves'!$AB$12 + $AB5*'Cancel Curves'!$AA$12 + $AC5*'Cancel Curves'!$Z$12 + $AD5*'Cancel Curves'!$Y$12 + $AE5*'Cancel Curves'!$X$12 + $AF5*'Cancel Curves'!$W$12 + $AG5*'Cancel Curves'!$V$12 + $AH5*'Cancel Curves'!$U$12 + $AI5*'Cancel Curves'!$T$12 + $AJ5*'Cancel Curves'!$S$12 + $AK5*'Cancel Curves'!$R$12 + $AL5*'Cancel Curves'!$Q$12 + $AM5*'Cancel Curves'!$P$12 + $AN5*'Cancel Curves'!$O$12 + $AO5*'Cancel Curves'!$N$12 + $AP5*'Cancel Curves'!$M$12 + $AQ5*'Cancel Curves'!$L$12 + $AR5*'Cancel Curves'!$K$12 + $AS5*'Cancel Curves'!$J$12 + $AT5*'Cancel Curves'!$I$12 + $AU5*'Cancel Curves'!$H$12 + $AV5*'Cancel Curves'!$G$12 + $AW5*'Cancel Curves'!$F$12 + $AX5*'Cancel Curves'!$E$12 + $AY5*'Cancel Curves'!$D$12 + $AZ5*'Cancel Curves'!$C$12 + $BA5*'Cancel Curves'!$B$12</f>
        <v/>
      </c>
      <c r="BB6" s="26">
        <f>$Y5*'Cancel Curves'!$AE$12 + $Z5*'Cancel Curves'!$AD$12 + $AA5*'Cancel Curves'!$AC$12 + $AB5*'Cancel Curves'!$AB$12 + $AC5*'Cancel Curves'!$AA$12 + $AD5*'Cancel Curves'!$Z$12 + $AE5*'Cancel Curves'!$Y$12 + $AF5*'Cancel Curves'!$X$12 + $AG5*'Cancel Curves'!$W$12 + $AH5*'Cancel Curves'!$V$12 + $AI5*'Cancel Curves'!$U$12 + $AJ5*'Cancel Curves'!$T$12 + $AK5*'Cancel Curves'!$S$12 + $AL5*'Cancel Curves'!$R$12 + $AM5*'Cancel Curves'!$Q$12 + $AN5*'Cancel Curves'!$P$12 + $AO5*'Cancel Curves'!$O$12 + $AP5*'Cancel Curves'!$N$12 + $AQ5*'Cancel Curves'!$M$12 + $AR5*'Cancel Curves'!$L$12 + $AS5*'Cancel Curves'!$K$12 + $AT5*'Cancel Curves'!$J$12 + $AU5*'Cancel Curves'!$I$12 + $AV5*'Cancel Curves'!$H$12 + $AW5*'Cancel Curves'!$G$12 + $AX5*'Cancel Curves'!$F$12 + $AY5*'Cancel Curves'!$E$12 + $AZ5*'Cancel Curves'!$D$12 + $BA5*'Cancel Curves'!$C$12 + $BB5*'Cancel Curves'!$B$12</f>
        <v/>
      </c>
      <c r="BC6" s="26">
        <f>$Z5*'Cancel Curves'!$AE$12 + $AA5*'Cancel Curves'!$AD$12 + $AB5*'Cancel Curves'!$AC$12 + $AC5*'Cancel Curves'!$AB$12 + $AD5*'Cancel Curves'!$AA$12 + $AE5*'Cancel Curves'!$Z$12 + $AF5*'Cancel Curves'!$Y$12 + $AG5*'Cancel Curves'!$X$12 + $AH5*'Cancel Curves'!$W$12 + $AI5*'Cancel Curves'!$V$12 + $AJ5*'Cancel Curves'!$U$12 + $AK5*'Cancel Curves'!$T$12 + $AL5*'Cancel Curves'!$S$12 + $AM5*'Cancel Curves'!$R$12 + $AN5*'Cancel Curves'!$Q$12 + $AO5*'Cancel Curves'!$P$12 + $AP5*'Cancel Curves'!$O$12 + $AQ5*'Cancel Curves'!$N$12 + $AR5*'Cancel Curves'!$M$12 + $AS5*'Cancel Curves'!$L$12 + $AT5*'Cancel Curves'!$K$12 + $AU5*'Cancel Curves'!$J$12 + $AV5*'Cancel Curves'!$I$12 + $AW5*'Cancel Curves'!$H$12 + $AX5*'Cancel Curves'!$G$12 + $AY5*'Cancel Curves'!$F$12 + $AZ5*'Cancel Curves'!$E$12 + $BA5*'Cancel Curves'!$D$12 + $BB5*'Cancel Curves'!$C$12 + $BC5*'Cancel Curves'!$B$12</f>
        <v/>
      </c>
      <c r="BD6" s="26">
        <f>$AA5*'Cancel Curves'!$AE$12 + $AB5*'Cancel Curves'!$AD$12 + $AC5*'Cancel Curves'!$AC$12 + $AD5*'Cancel Curves'!$AB$12 + $AE5*'Cancel Curves'!$AA$12 + $AF5*'Cancel Curves'!$Z$12 + $AG5*'Cancel Curves'!$Y$12 + $AH5*'Cancel Curves'!$X$12 + $AI5*'Cancel Curves'!$W$12 + $AJ5*'Cancel Curves'!$V$12 + $AK5*'Cancel Curves'!$U$12 + $AL5*'Cancel Curves'!$T$12 + $AM5*'Cancel Curves'!$S$12 + $AN5*'Cancel Curves'!$R$12 + $AO5*'Cancel Curves'!$Q$12 + $AP5*'Cancel Curves'!$P$12 + $AQ5*'Cancel Curves'!$O$12 + $AR5*'Cancel Curves'!$N$12 + $AS5*'Cancel Curves'!$M$12 + $AT5*'Cancel Curves'!$L$12 + $AU5*'Cancel Curves'!$K$12 + $AV5*'Cancel Curves'!$J$12 + $AW5*'Cancel Curves'!$I$12 + $AX5*'Cancel Curves'!$H$12 + $AY5*'Cancel Curves'!$G$12 + $AZ5*'Cancel Curves'!$F$12 + $BA5*'Cancel Curves'!$E$12 + $BB5*'Cancel Curves'!$D$12 + $BC5*'Cancel Curves'!$C$12 + $BD5*'Cancel Curves'!$B$12</f>
        <v/>
      </c>
      <c r="BE6" s="26">
        <f>$AB5*'Cancel Curves'!$AE$12 + $AC5*'Cancel Curves'!$AD$12 + $AD5*'Cancel Curves'!$AC$12 + $AE5*'Cancel Curves'!$AB$12 + $AF5*'Cancel Curves'!$AA$12 + $AG5*'Cancel Curves'!$Z$12 + $AH5*'Cancel Curves'!$Y$12 + $AI5*'Cancel Curves'!$X$12 + $AJ5*'Cancel Curves'!$W$12 + $AK5*'Cancel Curves'!$V$12 + $AL5*'Cancel Curves'!$U$12 + $AM5*'Cancel Curves'!$T$12 + $AN5*'Cancel Curves'!$S$12 + $AO5*'Cancel Curves'!$R$12 + $AP5*'Cancel Curves'!$Q$12 + $AQ5*'Cancel Curves'!$P$12 + $AR5*'Cancel Curves'!$O$12 + $AS5*'Cancel Curves'!$N$12 + $AT5*'Cancel Curves'!$M$12 + $AU5*'Cancel Curves'!$L$12 + $AV5*'Cancel Curves'!$K$12 + $AW5*'Cancel Curves'!$J$12 + $AX5*'Cancel Curves'!$I$12 + $AY5*'Cancel Curves'!$H$12 + $AZ5*'Cancel Curves'!$G$12 + $BA5*'Cancel Curves'!$F$12 + $BB5*'Cancel Curves'!$E$12 + $BC5*'Cancel Curves'!$D$12 + $BD5*'Cancel Curves'!$C$12 + $BE5*'Cancel Curves'!$B$12</f>
        <v/>
      </c>
      <c r="BF6" s="26">
        <f>$AC5*'Cancel Curves'!$AE$12 + $AD5*'Cancel Curves'!$AD$12 + $AE5*'Cancel Curves'!$AC$12 + $AF5*'Cancel Curves'!$AB$12 + $AG5*'Cancel Curves'!$AA$12 + $AH5*'Cancel Curves'!$Z$12 + $AI5*'Cancel Curves'!$Y$12 + $AJ5*'Cancel Curves'!$X$12 + $AK5*'Cancel Curves'!$W$12 + $AL5*'Cancel Curves'!$V$12 + $AM5*'Cancel Curves'!$U$12 + $AN5*'Cancel Curves'!$T$12 + $AO5*'Cancel Curves'!$S$12 + $AP5*'Cancel Curves'!$R$12 + $AQ5*'Cancel Curves'!$Q$12 + $AR5*'Cancel Curves'!$P$12 + $AS5*'Cancel Curves'!$O$12 + $AT5*'Cancel Curves'!$N$12 + $AU5*'Cancel Curves'!$M$12 + $AV5*'Cancel Curves'!$L$12 + $AW5*'Cancel Curves'!$K$12 + $AX5*'Cancel Curves'!$J$12 + $AY5*'Cancel Curves'!$I$12 + $AZ5*'Cancel Curves'!$H$12 + $BA5*'Cancel Curves'!$G$12 + $BB5*'Cancel Curves'!$F$12 + $BC5*'Cancel Curves'!$E$12 + $BD5*'Cancel Curves'!$D$12 + $BE5*'Cancel Curves'!$C$12 + $BF5*'Cancel Curves'!$B$12</f>
        <v/>
      </c>
      <c r="BG6" s="26">
        <f>$AD5*'Cancel Curves'!$AE$12 + $AE5*'Cancel Curves'!$AD$12 + $AF5*'Cancel Curves'!$AC$12 + $AG5*'Cancel Curves'!$AB$12 + $AH5*'Cancel Curves'!$AA$12 + $AI5*'Cancel Curves'!$Z$12 + $AJ5*'Cancel Curves'!$Y$12 + $AK5*'Cancel Curves'!$X$12 + $AL5*'Cancel Curves'!$W$12 + $AM5*'Cancel Curves'!$V$12 + $AN5*'Cancel Curves'!$U$12 + $AO5*'Cancel Curves'!$T$12 + $AP5*'Cancel Curves'!$S$12 + $AQ5*'Cancel Curves'!$R$12 + $AR5*'Cancel Curves'!$Q$12 + $AS5*'Cancel Curves'!$P$12 + $AT5*'Cancel Curves'!$O$12 + $AU5*'Cancel Curves'!$N$12 + $AV5*'Cancel Curves'!$M$12 + $AW5*'Cancel Curves'!$L$12 + $AX5*'Cancel Curves'!$K$12 + $AY5*'Cancel Curves'!$J$12 + $AZ5*'Cancel Curves'!$I$12 + $BA5*'Cancel Curves'!$H$12 + $BB5*'Cancel Curves'!$G$12 + $BC5*'Cancel Curves'!$F$12 + $BD5*'Cancel Curves'!$E$12 + $BE5*'Cancel Curves'!$D$12 + $BF5*'Cancel Curves'!$C$12 + $BG5*'Cancel Curves'!$B$12</f>
        <v/>
      </c>
      <c r="BH6" s="26">
        <f>$AE5*'Cancel Curves'!$AE$12 + $AF5*'Cancel Curves'!$AD$12 + $AG5*'Cancel Curves'!$AC$12 + $AH5*'Cancel Curves'!$AB$12 + $AI5*'Cancel Curves'!$AA$12 + $AJ5*'Cancel Curves'!$Z$12 + $AK5*'Cancel Curves'!$Y$12 + $AL5*'Cancel Curves'!$X$12 + $AM5*'Cancel Curves'!$W$12 + $AN5*'Cancel Curves'!$V$12 + $AO5*'Cancel Curves'!$U$12 + $AP5*'Cancel Curves'!$T$12 + $AQ5*'Cancel Curves'!$S$12 + $AR5*'Cancel Curves'!$R$12 + $AS5*'Cancel Curves'!$Q$12 + $AT5*'Cancel Curves'!$P$12 + $AU5*'Cancel Curves'!$O$12 + $AV5*'Cancel Curves'!$N$12 + $AW5*'Cancel Curves'!$M$12 + $AX5*'Cancel Curves'!$L$12 + $AY5*'Cancel Curves'!$K$12 + $AZ5*'Cancel Curves'!$J$12 + $BA5*'Cancel Curves'!$I$12 + $BB5*'Cancel Curves'!$H$12 + $BC5*'Cancel Curves'!$G$12 + $BD5*'Cancel Curves'!$F$12 + $BE5*'Cancel Curves'!$E$12 + $BF5*'Cancel Curves'!$D$12 + $BG5*'Cancel Curves'!$C$12 + $BH5*'Cancel Curves'!$B$12</f>
        <v/>
      </c>
      <c r="BI6" s="26">
        <f>$AF5*'Cancel Curves'!$AE$12 + $AG5*'Cancel Curves'!$AD$12 + $AH5*'Cancel Curves'!$AC$12 + $AI5*'Cancel Curves'!$AB$12 + $AJ5*'Cancel Curves'!$AA$12 + $AK5*'Cancel Curves'!$Z$12 + $AL5*'Cancel Curves'!$Y$12 + $AM5*'Cancel Curves'!$X$12 + $AN5*'Cancel Curves'!$W$12 + $AO5*'Cancel Curves'!$V$12 + $AP5*'Cancel Curves'!$U$12 + $AQ5*'Cancel Curves'!$T$12 + $AR5*'Cancel Curves'!$S$12 + $AS5*'Cancel Curves'!$R$12 + $AT5*'Cancel Curves'!$Q$12 + $AU5*'Cancel Curves'!$P$12 + $AV5*'Cancel Curves'!$O$12 + $AW5*'Cancel Curves'!$N$12 + $AX5*'Cancel Curves'!$M$12 + $AY5*'Cancel Curves'!$L$12 + $AZ5*'Cancel Curves'!$K$12 + $BA5*'Cancel Curves'!$J$12 + $BB5*'Cancel Curves'!$I$12 + $BC5*'Cancel Curves'!$H$12 + $BD5*'Cancel Curves'!$G$12 + $BE5*'Cancel Curves'!$F$12 + $BF5*'Cancel Curves'!$E$12 + $BG5*'Cancel Curves'!$D$12 + $BH5*'Cancel Curves'!$C$12 + $BI5*'Cancel Curves'!$B$12</f>
        <v/>
      </c>
      <c r="BJ6" s="26">
        <f>$AG5*'Cancel Curves'!$AE$12 + $AH5*'Cancel Curves'!$AD$12 + $AI5*'Cancel Curves'!$AC$12 + $AJ5*'Cancel Curves'!$AB$12 + $AK5*'Cancel Curves'!$AA$12 + $AL5*'Cancel Curves'!$Z$12 + $AM5*'Cancel Curves'!$Y$12 + $AN5*'Cancel Curves'!$X$12 + $AO5*'Cancel Curves'!$W$12 + $AP5*'Cancel Curves'!$V$12 + $AQ5*'Cancel Curves'!$U$12 + $AR5*'Cancel Curves'!$T$12 + $AS5*'Cancel Curves'!$S$12 + $AT5*'Cancel Curves'!$R$12 + $AU5*'Cancel Curves'!$Q$12 + $AV5*'Cancel Curves'!$P$12 + $AW5*'Cancel Curves'!$O$12 + $AX5*'Cancel Curves'!$N$12 + $AY5*'Cancel Curves'!$M$12 + $AZ5*'Cancel Curves'!$L$12 + $BA5*'Cancel Curves'!$K$12 + $BB5*'Cancel Curves'!$J$12 + $BC5*'Cancel Curves'!$I$12 + $BD5*'Cancel Curves'!$H$12 + $BE5*'Cancel Curves'!$G$12 + $BF5*'Cancel Curves'!$F$12 + $BG5*'Cancel Curves'!$E$12 + $BH5*'Cancel Curves'!$D$12 + $BI5*'Cancel Curves'!$C$12 + $BJ5*'Cancel Curves'!$B$12</f>
        <v/>
      </c>
      <c r="BK6" s="26">
        <f>$AH5*'Cancel Curves'!$AE$12 + $AI5*'Cancel Curves'!$AD$12 + $AJ5*'Cancel Curves'!$AC$12 + $AK5*'Cancel Curves'!$AB$12 + $AL5*'Cancel Curves'!$AA$12 + $AM5*'Cancel Curves'!$Z$12 + $AN5*'Cancel Curves'!$Y$12 + $AO5*'Cancel Curves'!$X$12 + $AP5*'Cancel Curves'!$W$12 + $AQ5*'Cancel Curves'!$V$12 + $AR5*'Cancel Curves'!$U$12 + $AS5*'Cancel Curves'!$T$12 + $AT5*'Cancel Curves'!$S$12 + $AU5*'Cancel Curves'!$R$12 + $AV5*'Cancel Curves'!$Q$12 + $AW5*'Cancel Curves'!$P$12 + $AX5*'Cancel Curves'!$O$12 + $AY5*'Cancel Curves'!$N$12 + $AZ5*'Cancel Curves'!$M$12 + $BA5*'Cancel Curves'!$L$12 + $BB5*'Cancel Curves'!$K$12 + $BC5*'Cancel Curves'!$J$12 + $BD5*'Cancel Curves'!$I$12 + $BE5*'Cancel Curves'!$H$12 + $BF5*'Cancel Curves'!$G$12 + $BG5*'Cancel Curves'!$F$12 + $BH5*'Cancel Curves'!$E$12 + $BI5*'Cancel Curves'!$D$12 + $BJ5*'Cancel Curves'!$C$12 + $BK5*'Cancel Curves'!$B$12</f>
        <v/>
      </c>
      <c r="BL6" s="26">
        <f>$AI5*'Cancel Curves'!$AE$12 + $AJ5*'Cancel Curves'!$AD$12 + $AK5*'Cancel Curves'!$AC$12 + $AL5*'Cancel Curves'!$AB$12 + $AM5*'Cancel Curves'!$AA$12 + $AN5*'Cancel Curves'!$Z$12 + $AO5*'Cancel Curves'!$Y$12 + $AP5*'Cancel Curves'!$X$12 + $AQ5*'Cancel Curves'!$W$12 + $AR5*'Cancel Curves'!$V$12 + $AS5*'Cancel Curves'!$U$12 + $AT5*'Cancel Curves'!$T$12 + $AU5*'Cancel Curves'!$S$12 + $AV5*'Cancel Curves'!$R$12 + $AW5*'Cancel Curves'!$Q$12 + $AX5*'Cancel Curves'!$P$12 + $AY5*'Cancel Curves'!$O$12 + $AZ5*'Cancel Curves'!$N$12 + $BA5*'Cancel Curves'!$M$12 + $BB5*'Cancel Curves'!$L$12 + $BC5*'Cancel Curves'!$K$12 + $BD5*'Cancel Curves'!$J$12 + $BE5*'Cancel Curves'!$I$12 + $BF5*'Cancel Curves'!$H$12 + $BG5*'Cancel Curves'!$G$12 + $BH5*'Cancel Curves'!$F$12 + $BI5*'Cancel Curves'!$E$12 + $BJ5*'Cancel Curves'!$D$12 + $BK5*'Cancel Curves'!$C$12 + $BL5*'Cancel Curves'!$B$12</f>
        <v/>
      </c>
      <c r="BM6" s="26">
        <f>$AJ5*'Cancel Curves'!$AE$12 + $AK5*'Cancel Curves'!$AD$12 + $AL5*'Cancel Curves'!$AC$12 + $AM5*'Cancel Curves'!$AB$12 + $AN5*'Cancel Curves'!$AA$12 + $AO5*'Cancel Curves'!$Z$12 + $AP5*'Cancel Curves'!$Y$12 + $AQ5*'Cancel Curves'!$X$12 + $AR5*'Cancel Curves'!$W$12 + $AS5*'Cancel Curves'!$V$12 + $AT5*'Cancel Curves'!$U$12 + $AU5*'Cancel Curves'!$T$12 + $AV5*'Cancel Curves'!$S$12 + $AW5*'Cancel Curves'!$R$12 + $AX5*'Cancel Curves'!$Q$12 + $AY5*'Cancel Curves'!$P$12 + $AZ5*'Cancel Curves'!$O$12 + $BA5*'Cancel Curves'!$N$12 + $BB5*'Cancel Curves'!$M$12 + $BC5*'Cancel Curves'!$L$12 + $BD5*'Cancel Curves'!$K$12 + $BE5*'Cancel Curves'!$J$12 + $BF5*'Cancel Curves'!$I$12 + $BG5*'Cancel Curves'!$H$12 + $BH5*'Cancel Curves'!$G$12 + $BI5*'Cancel Curves'!$F$12 + $BJ5*'Cancel Curves'!$E$12 + $BK5*'Cancel Curves'!$D$12 + $BL5*'Cancel Curves'!$C$12 + $BM5*'Cancel Curves'!$B$12</f>
        <v/>
      </c>
      <c r="BN6" s="26">
        <f>$AK5*'Cancel Curves'!$AE$12 + $AL5*'Cancel Curves'!$AD$12 + $AM5*'Cancel Curves'!$AC$12 + $AN5*'Cancel Curves'!$AB$12 + $AO5*'Cancel Curves'!$AA$12 + $AP5*'Cancel Curves'!$Z$12 + $AQ5*'Cancel Curves'!$Y$12 + $AR5*'Cancel Curves'!$X$12 + $AS5*'Cancel Curves'!$W$12 + $AT5*'Cancel Curves'!$V$12 + $AU5*'Cancel Curves'!$U$12 + $AV5*'Cancel Curves'!$T$12 + $AW5*'Cancel Curves'!$S$12 + $AX5*'Cancel Curves'!$R$12 + $AY5*'Cancel Curves'!$Q$12 + $AZ5*'Cancel Curves'!$P$12 + $BA5*'Cancel Curves'!$O$12 + $BB5*'Cancel Curves'!$N$12 + $BC5*'Cancel Curves'!$M$12 + $BD5*'Cancel Curves'!$L$12 + $BE5*'Cancel Curves'!$K$12 + $BF5*'Cancel Curves'!$J$12 + $BG5*'Cancel Curves'!$I$12 + $BH5*'Cancel Curves'!$H$12 + $BI5*'Cancel Curves'!$G$12 + $BJ5*'Cancel Curves'!$F$12 + $BK5*'Cancel Curves'!$E$12 + $BL5*'Cancel Curves'!$D$12 + $BM5*'Cancel Curves'!$C$12 + $BN5*'Cancel Curves'!$B$12</f>
        <v/>
      </c>
      <c r="BO6" s="26">
        <f>$AL5*'Cancel Curves'!$AE$12 + $AM5*'Cancel Curves'!$AD$12 + $AN5*'Cancel Curves'!$AC$12 + $AO5*'Cancel Curves'!$AB$12 + $AP5*'Cancel Curves'!$AA$12 + $AQ5*'Cancel Curves'!$Z$12 + $AR5*'Cancel Curves'!$Y$12 + $AS5*'Cancel Curves'!$X$12 + $AT5*'Cancel Curves'!$W$12 + $AU5*'Cancel Curves'!$V$12 + $AV5*'Cancel Curves'!$U$12 + $AW5*'Cancel Curves'!$T$12 + $AX5*'Cancel Curves'!$S$12 + $AY5*'Cancel Curves'!$R$12 + $AZ5*'Cancel Curves'!$Q$12 + $BA5*'Cancel Curves'!$P$12 + $BB5*'Cancel Curves'!$O$12 + $BC5*'Cancel Curves'!$N$12 + $BD5*'Cancel Curves'!$M$12 + $BE5*'Cancel Curves'!$L$12 + $BF5*'Cancel Curves'!$K$12 + $BG5*'Cancel Curves'!$J$12 + $BH5*'Cancel Curves'!$I$12 + $BI5*'Cancel Curves'!$H$12 + $BJ5*'Cancel Curves'!$G$12 + $BK5*'Cancel Curves'!$F$12 + $BL5*'Cancel Curves'!$E$12 + $BM5*'Cancel Curves'!$D$12 + $BN5*'Cancel Curves'!$C$12 + $BO5*'Cancel Curves'!$B$12</f>
        <v/>
      </c>
      <c r="BP6" s="26">
        <f>$AM5*'Cancel Curves'!$AE$12 + $AN5*'Cancel Curves'!$AD$12 + $AO5*'Cancel Curves'!$AC$12 + $AP5*'Cancel Curves'!$AB$12 + $AQ5*'Cancel Curves'!$AA$12 + $AR5*'Cancel Curves'!$Z$12 + $AS5*'Cancel Curves'!$Y$12 + $AT5*'Cancel Curves'!$X$12 + $AU5*'Cancel Curves'!$W$12 + $AV5*'Cancel Curves'!$V$12 + $AW5*'Cancel Curves'!$U$12 + $AX5*'Cancel Curves'!$T$12 + $AY5*'Cancel Curves'!$S$12 + $AZ5*'Cancel Curves'!$R$12 + $BA5*'Cancel Curves'!$Q$12 + $BB5*'Cancel Curves'!$P$12 + $BC5*'Cancel Curves'!$O$12 + $BD5*'Cancel Curves'!$N$12 + $BE5*'Cancel Curves'!$M$12 + $BF5*'Cancel Curves'!$L$12 + $BG5*'Cancel Curves'!$K$12 + $BH5*'Cancel Curves'!$J$12 + $BI5*'Cancel Curves'!$I$12 + $BJ5*'Cancel Curves'!$H$12 + $BK5*'Cancel Curves'!$G$12 + $BL5*'Cancel Curves'!$F$12 + $BM5*'Cancel Curves'!$E$12 + $BN5*'Cancel Curves'!$D$12 + $BO5*'Cancel Curves'!$C$12 + $BP5*'Cancel Curves'!$B$12</f>
        <v/>
      </c>
      <c r="BQ6" s="26">
        <f>$AN5*'Cancel Curves'!$AE$12 + $AO5*'Cancel Curves'!$AD$12 + $AP5*'Cancel Curves'!$AC$12 + $AQ5*'Cancel Curves'!$AB$12 + $AR5*'Cancel Curves'!$AA$12 + $AS5*'Cancel Curves'!$Z$12 + $AT5*'Cancel Curves'!$Y$12 + $AU5*'Cancel Curves'!$X$12 + $AV5*'Cancel Curves'!$W$12 + $AW5*'Cancel Curves'!$V$12 + $AX5*'Cancel Curves'!$U$12 + $AY5*'Cancel Curves'!$T$12 + $AZ5*'Cancel Curves'!$S$12 + $BA5*'Cancel Curves'!$R$12 + $BB5*'Cancel Curves'!$Q$12 + $BC5*'Cancel Curves'!$P$12 + $BD5*'Cancel Curves'!$O$12 + $BE5*'Cancel Curves'!$N$12 + $BF5*'Cancel Curves'!$M$12 + $BG5*'Cancel Curves'!$L$12 + $BH5*'Cancel Curves'!$K$12 + $BI5*'Cancel Curves'!$J$12 + $BJ5*'Cancel Curves'!$I$12 + $BK5*'Cancel Curves'!$H$12 + $BL5*'Cancel Curves'!$G$12 + $BM5*'Cancel Curves'!$F$12 + $BN5*'Cancel Curves'!$E$12 + $BO5*'Cancel Curves'!$D$12 + $BP5*'Cancel Curves'!$C$12 + $BQ5*'Cancel Curves'!$B$12</f>
        <v/>
      </c>
      <c r="BR6" s="26">
        <f>$AO5*'Cancel Curves'!$AE$12 + $AP5*'Cancel Curves'!$AD$12 + $AQ5*'Cancel Curves'!$AC$12 + $AR5*'Cancel Curves'!$AB$12 + $AS5*'Cancel Curves'!$AA$12 + $AT5*'Cancel Curves'!$Z$12 + $AU5*'Cancel Curves'!$Y$12 + $AV5*'Cancel Curves'!$X$12 + $AW5*'Cancel Curves'!$W$12 + $AX5*'Cancel Curves'!$V$12 + $AY5*'Cancel Curves'!$U$12 + $AZ5*'Cancel Curves'!$T$12 + $BA5*'Cancel Curves'!$S$12 + $BB5*'Cancel Curves'!$R$12 + $BC5*'Cancel Curves'!$Q$12 + $BD5*'Cancel Curves'!$P$12 + $BE5*'Cancel Curves'!$O$12 + $BF5*'Cancel Curves'!$N$12 + $BG5*'Cancel Curves'!$M$12 + $BH5*'Cancel Curves'!$L$12 + $BI5*'Cancel Curves'!$K$12 + $BJ5*'Cancel Curves'!$J$12 + $BK5*'Cancel Curves'!$I$12 + $BL5*'Cancel Curves'!$H$12 + $BM5*'Cancel Curves'!$G$12 + $BN5*'Cancel Curves'!$F$12 + $BO5*'Cancel Curves'!$E$12 + $BP5*'Cancel Curves'!$D$12 + $BQ5*'Cancel Curves'!$C$12 + $BR5*'Cancel Curves'!$B$12</f>
        <v/>
      </c>
      <c r="BS6" s="26">
        <f>$AP5*'Cancel Curves'!$AE$12 + $AQ5*'Cancel Curves'!$AD$12 + $AR5*'Cancel Curves'!$AC$12 + $AS5*'Cancel Curves'!$AB$12 + $AT5*'Cancel Curves'!$AA$12 + $AU5*'Cancel Curves'!$Z$12 + $AV5*'Cancel Curves'!$Y$12 + $AW5*'Cancel Curves'!$X$12 + $AX5*'Cancel Curves'!$W$12 + $AY5*'Cancel Curves'!$V$12 + $AZ5*'Cancel Curves'!$U$12 + $BA5*'Cancel Curves'!$T$12 + $BB5*'Cancel Curves'!$S$12 + $BC5*'Cancel Curves'!$R$12 + $BD5*'Cancel Curves'!$Q$12 + $BE5*'Cancel Curves'!$P$12 + $BF5*'Cancel Curves'!$O$12 + $BG5*'Cancel Curves'!$N$12 + $BH5*'Cancel Curves'!$M$12 + $BI5*'Cancel Curves'!$L$12 + $BJ5*'Cancel Curves'!$K$12 + $BK5*'Cancel Curves'!$J$12 + $BL5*'Cancel Curves'!$I$12 + $BM5*'Cancel Curves'!$H$12 + $BN5*'Cancel Curves'!$G$12 + $BO5*'Cancel Curves'!$F$12 + $BP5*'Cancel Curves'!$E$12 + $BQ5*'Cancel Curves'!$D$12 + $BR5*'Cancel Curves'!$C$12 + $BS5*'Cancel Curves'!$B$12</f>
        <v/>
      </c>
      <c r="BT6" s="26">
        <f>$AQ5*'Cancel Curves'!$AE$12 + $AR5*'Cancel Curves'!$AD$12 + $AS5*'Cancel Curves'!$AC$12 + $AT5*'Cancel Curves'!$AB$12 + $AU5*'Cancel Curves'!$AA$12 + $AV5*'Cancel Curves'!$Z$12 + $AW5*'Cancel Curves'!$Y$12 + $AX5*'Cancel Curves'!$X$12 + $AY5*'Cancel Curves'!$W$12 + $AZ5*'Cancel Curves'!$V$12 + $BA5*'Cancel Curves'!$U$12 + $BB5*'Cancel Curves'!$T$12 + $BC5*'Cancel Curves'!$S$12 + $BD5*'Cancel Curves'!$R$12 + $BE5*'Cancel Curves'!$Q$12 + $BF5*'Cancel Curves'!$P$12 + $BG5*'Cancel Curves'!$O$12 + $BH5*'Cancel Curves'!$N$12 + $BI5*'Cancel Curves'!$M$12 + $BJ5*'Cancel Curves'!$L$12 + $BK5*'Cancel Curves'!$K$12 + $BL5*'Cancel Curves'!$J$12 + $BM5*'Cancel Curves'!$I$12 + $BN5*'Cancel Curves'!$H$12 + $BO5*'Cancel Curves'!$G$12 + $BP5*'Cancel Curves'!$F$12 + $BQ5*'Cancel Curves'!$E$12 + $BR5*'Cancel Curves'!$D$12 + $BS5*'Cancel Curves'!$C$12 + $BT5*'Cancel Curves'!$B$12</f>
        <v/>
      </c>
      <c r="BU6" s="26">
        <f>$AR5*'Cancel Curves'!$AE$12 + $AS5*'Cancel Curves'!$AD$12 + $AT5*'Cancel Curves'!$AC$12 + $AU5*'Cancel Curves'!$AB$12 + $AV5*'Cancel Curves'!$AA$12 + $AW5*'Cancel Curves'!$Z$12 + $AX5*'Cancel Curves'!$Y$12 + $AY5*'Cancel Curves'!$X$12 + $AZ5*'Cancel Curves'!$W$12 + $BA5*'Cancel Curves'!$V$12 + $BB5*'Cancel Curves'!$U$12 + $BC5*'Cancel Curves'!$T$12 + $BD5*'Cancel Curves'!$S$12 + $BE5*'Cancel Curves'!$R$12 + $BF5*'Cancel Curves'!$Q$12 + $BG5*'Cancel Curves'!$P$12 + $BH5*'Cancel Curves'!$O$12 + $BI5*'Cancel Curves'!$N$12 + $BJ5*'Cancel Curves'!$M$12 + $BK5*'Cancel Curves'!$L$12 + $BL5*'Cancel Curves'!$K$12 + $BM5*'Cancel Curves'!$J$12 + $BN5*'Cancel Curves'!$I$12 + $BO5*'Cancel Curves'!$H$12 + $BP5*'Cancel Curves'!$G$12 + $BQ5*'Cancel Curves'!$F$12 + $BR5*'Cancel Curves'!$E$12 + $BS5*'Cancel Curves'!$D$12 + $BT5*'Cancel Curves'!$C$12 + $BU5*'Cancel Curves'!$B$12</f>
        <v/>
      </c>
      <c r="BV6" s="26">
        <f>$AS5*'Cancel Curves'!$AE$12 + $AT5*'Cancel Curves'!$AD$12 + $AU5*'Cancel Curves'!$AC$12 + $AV5*'Cancel Curves'!$AB$12 + $AW5*'Cancel Curves'!$AA$12 + $AX5*'Cancel Curves'!$Z$12 + $AY5*'Cancel Curves'!$Y$12 + $AZ5*'Cancel Curves'!$X$12 + $BA5*'Cancel Curves'!$W$12 + $BB5*'Cancel Curves'!$V$12 + $BC5*'Cancel Curves'!$U$12 + $BD5*'Cancel Curves'!$T$12 + $BE5*'Cancel Curves'!$S$12 + $BF5*'Cancel Curves'!$R$12 + $BG5*'Cancel Curves'!$Q$12 + $BH5*'Cancel Curves'!$P$12 + $BI5*'Cancel Curves'!$O$12 + $BJ5*'Cancel Curves'!$N$12 + $BK5*'Cancel Curves'!$M$12 + $BL5*'Cancel Curves'!$L$12 + $BM5*'Cancel Curves'!$K$12 + $BN5*'Cancel Curves'!$J$12 + $BO5*'Cancel Curves'!$I$12 + $BP5*'Cancel Curves'!$H$12 + $BQ5*'Cancel Curves'!$G$12 + $BR5*'Cancel Curves'!$F$12 + $BS5*'Cancel Curves'!$E$12 + $BT5*'Cancel Curves'!$D$12 + $BU5*'Cancel Curves'!$C$12 + $BV5*'Cancel Curves'!$B$12</f>
        <v/>
      </c>
      <c r="BW6" s="26">
        <f>$AT5*'Cancel Curves'!$AE$12 + $AU5*'Cancel Curves'!$AD$12 + $AV5*'Cancel Curves'!$AC$12 + $AW5*'Cancel Curves'!$AB$12 + $AX5*'Cancel Curves'!$AA$12 + $AY5*'Cancel Curves'!$Z$12 + $AZ5*'Cancel Curves'!$Y$12 + $BA5*'Cancel Curves'!$X$12 + $BB5*'Cancel Curves'!$W$12 + $BC5*'Cancel Curves'!$V$12 + $BD5*'Cancel Curves'!$U$12 + $BE5*'Cancel Curves'!$T$12 + $BF5*'Cancel Curves'!$S$12 + $BG5*'Cancel Curves'!$R$12 + $BH5*'Cancel Curves'!$Q$12 + $BI5*'Cancel Curves'!$P$12 + $BJ5*'Cancel Curves'!$O$12 + $BK5*'Cancel Curves'!$N$12 + $BL5*'Cancel Curves'!$M$12 + $BM5*'Cancel Curves'!$L$12 + $BN5*'Cancel Curves'!$K$12 + $BO5*'Cancel Curves'!$J$12 + $BP5*'Cancel Curves'!$I$12 + $BQ5*'Cancel Curves'!$H$12 + $BR5*'Cancel Curves'!$G$12 + $BS5*'Cancel Curves'!$F$12 + $BT5*'Cancel Curves'!$E$12 + $BU5*'Cancel Curves'!$D$12 + $BV5*'Cancel Curves'!$C$12 + $BW5*'Cancel Curves'!$B$12</f>
        <v/>
      </c>
    </row>
    <row r="7">
      <c r="A7" s="1" t="inlineStr">
        <is>
          <t>Active contracts (start of period)</t>
        </is>
      </c>
      <c r="C7" s="15" t="n">
        <v>0</v>
      </c>
    </row>
    <row r="8">
      <c r="A8" s="1" t="inlineStr">
        <is>
          <t>Cancels (period)</t>
        </is>
      </c>
      <c r="D8" s="26">
        <f>C6+D5-D6</f>
        <v/>
      </c>
      <c r="E8" s="26">
        <f>D6+E5-E6</f>
        <v/>
      </c>
      <c r="F8" s="26">
        <f>E6+F5-F6</f>
        <v/>
      </c>
      <c r="G8" s="26">
        <f>F6+G5-G6</f>
        <v/>
      </c>
      <c r="H8" s="26">
        <f>G6+H5-H6</f>
        <v/>
      </c>
      <c r="I8" s="26">
        <f>H6+I5-I6</f>
        <v/>
      </c>
      <c r="J8" s="26">
        <f>I6+J5-J6</f>
        <v/>
      </c>
      <c r="K8" s="26">
        <f>J6+K5-K6</f>
        <v/>
      </c>
      <c r="L8" s="26">
        <f>K6+L5-L6</f>
        <v/>
      </c>
      <c r="M8" s="26">
        <f>L6+M5-M6</f>
        <v/>
      </c>
      <c r="N8" s="26">
        <f>M6+N5-N6</f>
        <v/>
      </c>
      <c r="O8" s="26">
        <f>N6+O5-O6</f>
        <v/>
      </c>
      <c r="P8" s="26">
        <f>O6+P5-P6</f>
        <v/>
      </c>
      <c r="Q8" s="26">
        <f>P6+Q5-Q6</f>
        <v/>
      </c>
      <c r="R8" s="26">
        <f>Q6+R5-R6</f>
        <v/>
      </c>
      <c r="S8" s="26">
        <f>R6+S5-S6</f>
        <v/>
      </c>
      <c r="T8" s="26">
        <f>S6+T5-T6</f>
        <v/>
      </c>
      <c r="U8" s="26">
        <f>T6+U5-U6</f>
        <v/>
      </c>
      <c r="V8" s="26">
        <f>U6+V5-V6</f>
        <v/>
      </c>
      <c r="W8" s="26">
        <f>V6+W5-W6</f>
        <v/>
      </c>
      <c r="X8" s="26">
        <f>W6+X5-X6</f>
        <v/>
      </c>
      <c r="Y8" s="26">
        <f>X6+Y5-Y6</f>
        <v/>
      </c>
      <c r="Z8" s="26">
        <f>Y6+Z5-Z6</f>
        <v/>
      </c>
      <c r="AA8" s="26">
        <f>Z6+AA5-AA6</f>
        <v/>
      </c>
      <c r="AB8" s="26">
        <f>AA6+AB5-AB6</f>
        <v/>
      </c>
      <c r="AC8" s="26">
        <f>AB6+AC5-AC6</f>
        <v/>
      </c>
      <c r="AD8" s="26">
        <f>AC6+AD5-AD6</f>
        <v/>
      </c>
      <c r="AE8" s="26">
        <f>AD6+AE5-AE6</f>
        <v/>
      </c>
      <c r="AF8" s="26">
        <f>AE6+AF5-AF6</f>
        <v/>
      </c>
      <c r="AG8" s="26">
        <f>AF6+AG5-AG6</f>
        <v/>
      </c>
      <c r="AH8" s="26">
        <f>AG6+AH5-AH6</f>
        <v/>
      </c>
      <c r="AI8" s="26">
        <f>AH6+AI5-AI6</f>
        <v/>
      </c>
      <c r="AJ8" s="26">
        <f>AI6+AJ5-AJ6</f>
        <v/>
      </c>
      <c r="AK8" s="26">
        <f>AJ6+AK5-AK6</f>
        <v/>
      </c>
      <c r="AL8" s="26">
        <f>AK6+AL5-AL6</f>
        <v/>
      </c>
      <c r="AM8" s="26">
        <f>AL6+AM5-AM6</f>
        <v/>
      </c>
      <c r="AN8" s="26">
        <f>AM6+AN5-AN6</f>
        <v/>
      </c>
      <c r="AO8" s="26">
        <f>AN6+AO5-AO6</f>
        <v/>
      </c>
      <c r="AP8" s="26">
        <f>AO6+AP5-AP6</f>
        <v/>
      </c>
      <c r="AQ8" s="26">
        <f>AP6+AQ5-AQ6</f>
        <v/>
      </c>
      <c r="AR8" s="26">
        <f>AQ6+AR5-AR6</f>
        <v/>
      </c>
      <c r="AS8" s="26">
        <f>AR6+AS5-AS6</f>
        <v/>
      </c>
      <c r="AT8" s="26">
        <f>AS6+AT5-AT6</f>
        <v/>
      </c>
      <c r="AU8" s="26">
        <f>AT6+AU5-AU6</f>
        <v/>
      </c>
      <c r="AV8" s="26">
        <f>AU6+AV5-AV6</f>
        <v/>
      </c>
      <c r="AW8" s="26">
        <f>AV6+AW5-AW6</f>
        <v/>
      </c>
      <c r="AX8" s="26">
        <f>AW6+AX5-AX6</f>
        <v/>
      </c>
      <c r="AY8" s="26">
        <f>AX6+AY5-AY6</f>
        <v/>
      </c>
      <c r="AZ8" s="26">
        <f>AY6+AZ5-AZ6</f>
        <v/>
      </c>
      <c r="BA8" s="26">
        <f>AZ6+BA5-BA6</f>
        <v/>
      </c>
      <c r="BB8" s="26">
        <f>BA6+BB5-BB6</f>
        <v/>
      </c>
      <c r="BC8" s="26">
        <f>BB6+BC5-BC6</f>
        <v/>
      </c>
      <c r="BD8" s="26">
        <f>BC6+BD5-BD6</f>
        <v/>
      </c>
      <c r="BE8" s="26">
        <f>BD6+BE5-BE6</f>
        <v/>
      </c>
      <c r="BF8" s="26">
        <f>BE6+BF5-BF6</f>
        <v/>
      </c>
      <c r="BG8" s="26">
        <f>BF6+BG5-BG6</f>
        <v/>
      </c>
      <c r="BH8" s="26">
        <f>BG6+BH5-BH6</f>
        <v/>
      </c>
      <c r="BI8" s="26">
        <f>BH6+BI5-BI6</f>
        <v/>
      </c>
      <c r="BJ8" s="26">
        <f>BI6+BJ5-BJ6</f>
        <v/>
      </c>
      <c r="BK8" s="26">
        <f>BJ6+BK5-BK6</f>
        <v/>
      </c>
      <c r="BL8" s="26">
        <f>BK6+BL5-BL6</f>
        <v/>
      </c>
      <c r="BM8" s="26">
        <f>BL6+BM5-BM6</f>
        <v/>
      </c>
      <c r="BN8" s="26">
        <f>BM6+BN5-BN6</f>
        <v/>
      </c>
      <c r="BO8" s="26">
        <f>BN6+BO5-BO6</f>
        <v/>
      </c>
      <c r="BP8" s="26">
        <f>BO6+BP5-BP6</f>
        <v/>
      </c>
      <c r="BQ8" s="26">
        <f>BP6+BQ5-BQ6</f>
        <v/>
      </c>
      <c r="BR8" s="26">
        <f>BQ6+BR5-BR6</f>
        <v/>
      </c>
      <c r="BS8" s="26">
        <f>BR6+BS5-BS6</f>
        <v/>
      </c>
      <c r="BT8" s="26">
        <f>BS6+BT5-BT6</f>
        <v/>
      </c>
      <c r="BU8" s="26">
        <f>BT6+BU5-BU6</f>
        <v/>
      </c>
      <c r="BV8" s="26">
        <f>BU6+BV5-BV6</f>
        <v/>
      </c>
      <c r="BW8" s="26">
        <f>BV6+BW5-BW6</f>
        <v/>
      </c>
    </row>
    <row r="10">
      <c r="A10" s="97" t="inlineStr">
        <is>
          <t>REVENUE</t>
        </is>
      </c>
    </row>
    <row r="11">
      <c r="A11" s="1" t="inlineStr">
        <is>
          <t>Monthly contract value (active × CPS)</t>
        </is>
      </c>
    </row>
    <row r="12">
      <c r="A12" t="inlineStr">
        <is>
          <t xml:space="preserve">  CPS (customer payment per service)</t>
        </is>
      </c>
      <c r="D12" s="82">
        <f>Assumptions!$B$17*(1+Assumptions!$B$9)^0</f>
        <v/>
      </c>
      <c r="E12" s="82">
        <f>Assumptions!$B$17*(1+Assumptions!$B$9)^0</f>
        <v/>
      </c>
      <c r="F12" s="82">
        <f>Assumptions!$B$17*(1+Assumptions!$B$9)^0</f>
        <v/>
      </c>
      <c r="G12" s="82">
        <f>Assumptions!$B$17*(1+Assumptions!$B$9)^0</f>
        <v/>
      </c>
      <c r="H12" s="82">
        <f>Assumptions!$B$17*(1+Assumptions!$B$9)^0</f>
        <v/>
      </c>
      <c r="I12" s="82">
        <f>Assumptions!$B$17*(1+Assumptions!$B$9)^0</f>
        <v/>
      </c>
      <c r="J12" s="82">
        <f>Assumptions!$B$17*(1+Assumptions!$B$9)^0</f>
        <v/>
      </c>
      <c r="K12" s="82">
        <f>Assumptions!$B$17*(1+Assumptions!$B$9)^0</f>
        <v/>
      </c>
      <c r="L12" s="82">
        <f>Assumptions!$B$17*(1+Assumptions!$B$9)^0</f>
        <v/>
      </c>
      <c r="M12" s="82">
        <f>Assumptions!$B$17*(1+Assumptions!$B$9)^0</f>
        <v/>
      </c>
      <c r="N12" s="82">
        <f>Assumptions!$B$17*(1+Assumptions!$B$9)^0</f>
        <v/>
      </c>
      <c r="O12" s="82">
        <f>Assumptions!$B$17*(1+Assumptions!$B$9)^0</f>
        <v/>
      </c>
      <c r="P12" s="82">
        <f>Assumptions!$B$17*(1+Assumptions!$B$9)^1</f>
        <v/>
      </c>
      <c r="Q12" s="82">
        <f>Assumptions!$B$17*(1+Assumptions!$B$9)^1</f>
        <v/>
      </c>
      <c r="R12" s="82">
        <f>Assumptions!$B$17*(1+Assumptions!$B$9)^1</f>
        <v/>
      </c>
      <c r="S12" s="82">
        <f>Assumptions!$B$17*(1+Assumptions!$B$9)^1</f>
        <v/>
      </c>
      <c r="T12" s="82">
        <f>Assumptions!$B$17*(1+Assumptions!$B$9)^1</f>
        <v/>
      </c>
      <c r="U12" s="82">
        <f>Assumptions!$B$17*(1+Assumptions!$B$9)^1</f>
        <v/>
      </c>
      <c r="V12" s="82">
        <f>Assumptions!$B$17*(1+Assumptions!$B$9)^1</f>
        <v/>
      </c>
      <c r="W12" s="82">
        <f>Assumptions!$B$17*(1+Assumptions!$B$9)^1</f>
        <v/>
      </c>
      <c r="X12" s="82">
        <f>Assumptions!$B$17*(1+Assumptions!$B$9)^1</f>
        <v/>
      </c>
      <c r="Y12" s="82">
        <f>Assumptions!$B$17*(1+Assumptions!$B$9)^1</f>
        <v/>
      </c>
      <c r="Z12" s="82">
        <f>Assumptions!$B$17*(1+Assumptions!$B$9)^1</f>
        <v/>
      </c>
      <c r="AA12" s="82">
        <f>Assumptions!$B$17*(1+Assumptions!$B$9)^1</f>
        <v/>
      </c>
      <c r="AB12" s="82">
        <f>Assumptions!$B$17*(1+Assumptions!$B$9)^2</f>
        <v/>
      </c>
      <c r="AC12" s="82">
        <f>Assumptions!$B$17*(1+Assumptions!$B$9)^2</f>
        <v/>
      </c>
      <c r="AD12" s="82">
        <f>Assumptions!$B$17*(1+Assumptions!$B$9)^2</f>
        <v/>
      </c>
      <c r="AE12" s="82">
        <f>Assumptions!$B$17*(1+Assumptions!$B$9)^2</f>
        <v/>
      </c>
      <c r="AF12" s="82">
        <f>Assumptions!$B$17*(1+Assumptions!$B$9)^2</f>
        <v/>
      </c>
      <c r="AG12" s="82">
        <f>Assumptions!$B$17*(1+Assumptions!$B$9)^2</f>
        <v/>
      </c>
      <c r="AH12" s="82">
        <f>Assumptions!$B$17*(1+Assumptions!$B$9)^2</f>
        <v/>
      </c>
      <c r="AI12" s="82">
        <f>Assumptions!$B$17*(1+Assumptions!$B$9)^2</f>
        <v/>
      </c>
      <c r="AJ12" s="82">
        <f>Assumptions!$B$17*(1+Assumptions!$B$9)^2</f>
        <v/>
      </c>
      <c r="AK12" s="82">
        <f>Assumptions!$B$17*(1+Assumptions!$B$9)^2</f>
        <v/>
      </c>
      <c r="AL12" s="82">
        <f>Assumptions!$B$17*(1+Assumptions!$B$9)^2</f>
        <v/>
      </c>
      <c r="AM12" s="82">
        <f>Assumptions!$B$17*(1+Assumptions!$B$9)^2</f>
        <v/>
      </c>
      <c r="AN12" s="82">
        <f>Assumptions!$B$17*(1+Assumptions!$B$9)^3</f>
        <v/>
      </c>
      <c r="AO12" s="82">
        <f>Assumptions!$B$17*(1+Assumptions!$B$9)^3</f>
        <v/>
      </c>
      <c r="AP12" s="82">
        <f>Assumptions!$B$17*(1+Assumptions!$B$9)^3</f>
        <v/>
      </c>
      <c r="AQ12" s="82">
        <f>Assumptions!$B$17*(1+Assumptions!$B$9)^3</f>
        <v/>
      </c>
      <c r="AR12" s="82">
        <f>Assumptions!$B$17*(1+Assumptions!$B$9)^3</f>
        <v/>
      </c>
      <c r="AS12" s="82">
        <f>Assumptions!$B$17*(1+Assumptions!$B$9)^3</f>
        <v/>
      </c>
      <c r="AT12" s="82">
        <f>Assumptions!$B$17*(1+Assumptions!$B$9)^3</f>
        <v/>
      </c>
      <c r="AU12" s="82">
        <f>Assumptions!$B$17*(1+Assumptions!$B$9)^3</f>
        <v/>
      </c>
      <c r="AV12" s="82">
        <f>Assumptions!$B$17*(1+Assumptions!$B$9)^3</f>
        <v/>
      </c>
      <c r="AW12" s="82">
        <f>Assumptions!$B$17*(1+Assumptions!$B$9)^3</f>
        <v/>
      </c>
      <c r="AX12" s="82">
        <f>Assumptions!$B$17*(1+Assumptions!$B$9)^3</f>
        <v/>
      </c>
      <c r="AY12" s="82">
        <f>Assumptions!$B$17*(1+Assumptions!$B$9)^3</f>
        <v/>
      </c>
      <c r="AZ12" s="82">
        <f>Assumptions!$B$17*(1+Assumptions!$B$9)^4</f>
        <v/>
      </c>
      <c r="BA12" s="82">
        <f>Assumptions!$B$17*(1+Assumptions!$B$9)^4</f>
        <v/>
      </c>
      <c r="BB12" s="82">
        <f>Assumptions!$B$17*(1+Assumptions!$B$9)^4</f>
        <v/>
      </c>
      <c r="BC12" s="82">
        <f>Assumptions!$B$17*(1+Assumptions!$B$9)^4</f>
        <v/>
      </c>
      <c r="BD12" s="82">
        <f>Assumptions!$B$17*(1+Assumptions!$B$9)^4</f>
        <v/>
      </c>
      <c r="BE12" s="82">
        <f>Assumptions!$B$17*(1+Assumptions!$B$9)^4</f>
        <v/>
      </c>
      <c r="BF12" s="82">
        <f>Assumptions!$B$17*(1+Assumptions!$B$9)^4</f>
        <v/>
      </c>
      <c r="BG12" s="82">
        <f>Assumptions!$B$17*(1+Assumptions!$B$9)^4</f>
        <v/>
      </c>
      <c r="BH12" s="82">
        <f>Assumptions!$B$17*(1+Assumptions!$B$9)^4</f>
        <v/>
      </c>
      <c r="BI12" s="82">
        <f>Assumptions!$B$17*(1+Assumptions!$B$9)^4</f>
        <v/>
      </c>
      <c r="BJ12" s="82">
        <f>Assumptions!$B$17*(1+Assumptions!$B$9)^4</f>
        <v/>
      </c>
      <c r="BK12" s="82">
        <f>Assumptions!$B$17*(1+Assumptions!$B$9)^4</f>
        <v/>
      </c>
      <c r="BL12" s="82">
        <f>Assumptions!$B$17*(1+Assumptions!$B$9)^5</f>
        <v/>
      </c>
      <c r="BM12" s="82">
        <f>Assumptions!$B$17*(1+Assumptions!$B$9)^5</f>
        <v/>
      </c>
      <c r="BN12" s="82">
        <f>Assumptions!$B$17*(1+Assumptions!$B$9)^5</f>
        <v/>
      </c>
      <c r="BO12" s="82">
        <f>Assumptions!$B$17*(1+Assumptions!$B$9)^5</f>
        <v/>
      </c>
      <c r="BP12" s="82">
        <f>Assumptions!$B$17*(1+Assumptions!$B$9)^5</f>
        <v/>
      </c>
      <c r="BQ12" s="82">
        <f>Assumptions!$B$17*(1+Assumptions!$B$9)^5</f>
        <v/>
      </c>
      <c r="BR12" s="82">
        <f>Assumptions!$B$17*(1+Assumptions!$B$9)^5</f>
        <v/>
      </c>
      <c r="BS12" s="82">
        <f>Assumptions!$B$17*(1+Assumptions!$B$9)^5</f>
        <v/>
      </c>
      <c r="BT12" s="82">
        <f>Assumptions!$B$17*(1+Assumptions!$B$9)^5</f>
        <v/>
      </c>
      <c r="BU12" s="82">
        <f>Assumptions!$B$17*(1+Assumptions!$B$9)^5</f>
        <v/>
      </c>
      <c r="BV12" s="82">
        <f>Assumptions!$B$17*(1+Assumptions!$B$9)^5</f>
        <v/>
      </c>
      <c r="BW12" s="82">
        <f>Assumptions!$B$17*(1+Assumptions!$B$9)^5</f>
        <v/>
      </c>
    </row>
    <row r="13">
      <c r="A13" t="inlineStr">
        <is>
          <t>Contract revenue</t>
        </is>
      </c>
      <c r="D13" s="77">
        <f>($D$5*'Cancel Curves'!$B$12 + 82*'Cancel Curves'!$M$12 + 78*'Cancel Curves'!$L$12 + 67*'Cancel Curves'!$K$12 + 69*'Cancel Curves'!$J$12 + 161*'Cancel Curves'!$I$12 + 224*'Cancel Curves'!$H$12 + 424*'Cancel Curves'!$G$12 + 249*'Cancel Curves'!$F$12 + 554*'Cancel Curves'!$E$12 + 989*'Cancel Curves'!$D$12 + 1231*'Cancel Curves'!$C$12)*Assumptions!$B$76</f>
        <v/>
      </c>
      <c r="E13" s="77">
        <f>($D$5*'Cancel Curves'!$C$12 + $E$5*'Cancel Curves'!$B$12 + 78*'Cancel Curves'!$M$12 + 67*'Cancel Curves'!$L$12 + 69*'Cancel Curves'!$K$12 + 161*'Cancel Curves'!$J$12 + 224*'Cancel Curves'!$I$12 + 424*'Cancel Curves'!$H$12 + 249*'Cancel Curves'!$G$12 + 554*'Cancel Curves'!$F$12 + 989*'Cancel Curves'!$E$12 + 1231*'Cancel Curves'!$D$12)*Assumptions!$B$76</f>
        <v/>
      </c>
      <c r="F13" s="77">
        <f>($D$5*'Cancel Curves'!$D$12 + $E$5*'Cancel Curves'!$C$12 + $F$5*'Cancel Curves'!$B$12 + 67*'Cancel Curves'!$M$12 + 69*'Cancel Curves'!$L$12 + 161*'Cancel Curves'!$K$12 + 224*'Cancel Curves'!$J$12 + 424*'Cancel Curves'!$I$12 + 249*'Cancel Curves'!$H$12 + 554*'Cancel Curves'!$G$12 + 989*'Cancel Curves'!$F$12 + 1231*'Cancel Curves'!$E$12)*Assumptions!$B$76</f>
        <v/>
      </c>
      <c r="G13" s="77">
        <f>($D$5*'Cancel Curves'!$E$12 + $E$5*'Cancel Curves'!$D$12 + $F$5*'Cancel Curves'!$C$12 + $G$5*'Cancel Curves'!$B$12 + 69*'Cancel Curves'!$M$12 + 161*'Cancel Curves'!$L$12 + 224*'Cancel Curves'!$K$12 + 424*'Cancel Curves'!$J$12 + 249*'Cancel Curves'!$I$12 + 554*'Cancel Curves'!$H$12 + 989*'Cancel Curves'!$G$12 + 1231*'Cancel Curves'!$F$12)*Assumptions!$B$76</f>
        <v/>
      </c>
      <c r="H13" s="77">
        <f>($D$5*'Cancel Curves'!$F$12 + $E$5*'Cancel Curves'!$E$12 + $F$5*'Cancel Curves'!$D$12 + $G$5*'Cancel Curves'!$C$12 + $H$5*'Cancel Curves'!$B$12 + 161*'Cancel Curves'!$M$12 + 224*'Cancel Curves'!$L$12 + 424*'Cancel Curves'!$K$12 + 249*'Cancel Curves'!$J$12 + 554*'Cancel Curves'!$I$12 + 989*'Cancel Curves'!$H$12 + 1231*'Cancel Curves'!$G$12)*Assumptions!$B$76</f>
        <v/>
      </c>
      <c r="I13" s="77">
        <f>($D$5*'Cancel Curves'!$G$12 + $E$5*'Cancel Curves'!$F$12 + $F$5*'Cancel Curves'!$E$12 + $G$5*'Cancel Curves'!$D$12 + $H$5*'Cancel Curves'!$C$12 + $I$5*'Cancel Curves'!$B$12 + 224*'Cancel Curves'!$M$12 + 424*'Cancel Curves'!$L$12 + 249*'Cancel Curves'!$K$12 + 554*'Cancel Curves'!$J$12 + 989*'Cancel Curves'!$I$12 + 1231*'Cancel Curves'!$H$12)*Assumptions!$B$76</f>
        <v/>
      </c>
      <c r="J13" s="77">
        <f>($D$5*'Cancel Curves'!$H$12 + $E$5*'Cancel Curves'!$G$12 + $F$5*'Cancel Curves'!$F$12 + $G$5*'Cancel Curves'!$E$12 + $H$5*'Cancel Curves'!$D$12 + $I$5*'Cancel Curves'!$C$12 + $J$5*'Cancel Curves'!$B$12 + 424*'Cancel Curves'!$M$12 + 249*'Cancel Curves'!$L$12 + 554*'Cancel Curves'!$K$12 + 989*'Cancel Curves'!$J$12 + 1231*'Cancel Curves'!$I$12)*Assumptions!$B$76</f>
        <v/>
      </c>
      <c r="K13" s="77">
        <f>($D$5*'Cancel Curves'!$I$12 + $E$5*'Cancel Curves'!$H$12 + $F$5*'Cancel Curves'!$G$12 + $G$5*'Cancel Curves'!$F$12 + $H$5*'Cancel Curves'!$E$12 + $I$5*'Cancel Curves'!$D$12 + $J$5*'Cancel Curves'!$C$12 + $K$5*'Cancel Curves'!$B$12 + 249*'Cancel Curves'!$M$12 + 554*'Cancel Curves'!$L$12 + 989*'Cancel Curves'!$K$12 + 1231*'Cancel Curves'!$J$12)*Assumptions!$B$76</f>
        <v/>
      </c>
      <c r="L13" s="77">
        <f>($D$5*'Cancel Curves'!$J$12 + $E$5*'Cancel Curves'!$I$12 + $F$5*'Cancel Curves'!$H$12 + $G$5*'Cancel Curves'!$G$12 + $H$5*'Cancel Curves'!$F$12 + $I$5*'Cancel Curves'!$E$12 + $J$5*'Cancel Curves'!$D$12 + $K$5*'Cancel Curves'!$C$12 + $L$5*'Cancel Curves'!$B$12 + 554*'Cancel Curves'!$M$12 + 989*'Cancel Curves'!$L$12 + 1231*'Cancel Curves'!$K$12)*Assumptions!$B$76</f>
        <v/>
      </c>
      <c r="M13" s="77">
        <f>($D$5*'Cancel Curves'!$K$12 + $E$5*'Cancel Curves'!$J$12 + $F$5*'Cancel Curves'!$I$12 + $G$5*'Cancel Curves'!$H$12 + $H$5*'Cancel Curves'!$G$12 + $I$5*'Cancel Curves'!$F$12 + $J$5*'Cancel Curves'!$E$12 + $K$5*'Cancel Curves'!$D$12 + $L$5*'Cancel Curves'!$C$12 + $M$5*'Cancel Curves'!$B$12 + 989*'Cancel Curves'!$M$12 + 1231*'Cancel Curves'!$L$12)*Assumptions!$B$76</f>
        <v/>
      </c>
      <c r="N13" s="77">
        <f>($D$5*'Cancel Curves'!$L$12 + $E$5*'Cancel Curves'!$K$12 + $F$5*'Cancel Curves'!$J$12 + $G$5*'Cancel Curves'!$I$12 + $H$5*'Cancel Curves'!$H$12 + $I$5*'Cancel Curves'!$G$12 + $J$5*'Cancel Curves'!$F$12 + $K$5*'Cancel Curves'!$E$12 + $L$5*'Cancel Curves'!$D$12 + $M$5*'Cancel Curves'!$C$12 + $N$5*'Cancel Curves'!$B$12 + 1231*'Cancel Curves'!$M$12)*Assumptions!$B$76</f>
        <v/>
      </c>
      <c r="O13" s="77">
        <f>($D$5*'Cancel Curves'!$M$12 + $E$5*'Cancel Curves'!$L$12 + $F$5*'Cancel Curves'!$K$12 + $G$5*'Cancel Curves'!$J$12 + $H$5*'Cancel Curves'!$I$12 + $I$5*'Cancel Curves'!$H$12 + $J$5*'Cancel Curves'!$G$12 + $K$5*'Cancel Curves'!$F$12 + $L$5*'Cancel Curves'!$E$12 + $M$5*'Cancel Curves'!$D$12 + $N$5*'Cancel Curves'!$C$12 + $O$5*'Cancel Curves'!$B$12)*Assumptions!$B$76</f>
        <v/>
      </c>
      <c r="P13" s="77">
        <f>($E$5*'Cancel Curves'!$M$12 + $F$5*'Cancel Curves'!$L$12 + $G$5*'Cancel Curves'!$K$12 + $H$5*'Cancel Curves'!$J$12 + $I$5*'Cancel Curves'!$I$12 + $J$5*'Cancel Curves'!$H$12 + $K$5*'Cancel Curves'!$G$12 + $L$5*'Cancel Curves'!$F$12 + $M$5*'Cancel Curves'!$E$12 + $N$5*'Cancel Curves'!$D$12 + $O$5*'Cancel Curves'!$C$12 + $P$5*'Cancel Curves'!$B$12)*Assumptions!$B$76</f>
        <v/>
      </c>
      <c r="Q13" s="77">
        <f>($F$5*'Cancel Curves'!$M$12 + $G$5*'Cancel Curves'!$L$12 + $H$5*'Cancel Curves'!$K$12 + $I$5*'Cancel Curves'!$J$12 + $J$5*'Cancel Curves'!$I$12 + $K$5*'Cancel Curves'!$H$12 + $L$5*'Cancel Curves'!$G$12 + $M$5*'Cancel Curves'!$F$12 + $N$5*'Cancel Curves'!$E$12 + $O$5*'Cancel Curves'!$D$12 + $P$5*'Cancel Curves'!$C$12 + $Q$5*'Cancel Curves'!$B$12)*Assumptions!$B$76</f>
        <v/>
      </c>
      <c r="R13" s="77">
        <f>($G$5*'Cancel Curves'!$M$12 + $H$5*'Cancel Curves'!$L$12 + $I$5*'Cancel Curves'!$K$12 + $J$5*'Cancel Curves'!$J$12 + $K$5*'Cancel Curves'!$I$12 + $L$5*'Cancel Curves'!$H$12 + $M$5*'Cancel Curves'!$G$12 + $N$5*'Cancel Curves'!$F$12 + $O$5*'Cancel Curves'!$E$12 + $P$5*'Cancel Curves'!$D$12 + $Q$5*'Cancel Curves'!$C$12 + $R$5*'Cancel Curves'!$B$12)*Assumptions!$B$76</f>
        <v/>
      </c>
      <c r="S13" s="77">
        <f>($H$5*'Cancel Curves'!$M$12 + $I$5*'Cancel Curves'!$L$12 + $J$5*'Cancel Curves'!$K$12 + $K$5*'Cancel Curves'!$J$12 + $L$5*'Cancel Curves'!$I$12 + $M$5*'Cancel Curves'!$H$12 + $N$5*'Cancel Curves'!$G$12 + $O$5*'Cancel Curves'!$F$12 + $P$5*'Cancel Curves'!$E$12 + $Q$5*'Cancel Curves'!$D$12 + $R$5*'Cancel Curves'!$C$12 + $S$5*'Cancel Curves'!$B$12)*Assumptions!$B$76</f>
        <v/>
      </c>
      <c r="T13" s="77">
        <f>($I$5*'Cancel Curves'!$M$12 + $J$5*'Cancel Curves'!$L$12 + $K$5*'Cancel Curves'!$K$12 + $L$5*'Cancel Curves'!$J$12 + $M$5*'Cancel Curves'!$I$12 + $N$5*'Cancel Curves'!$H$12 + $O$5*'Cancel Curves'!$G$12 + $P$5*'Cancel Curves'!$F$12 + $Q$5*'Cancel Curves'!$E$12 + $R$5*'Cancel Curves'!$D$12 + $S$5*'Cancel Curves'!$C$12 + $T$5*'Cancel Curves'!$B$12)*Assumptions!$B$76</f>
        <v/>
      </c>
      <c r="U13" s="77">
        <f>($J$5*'Cancel Curves'!$M$12 + $K$5*'Cancel Curves'!$L$12 + $L$5*'Cancel Curves'!$K$12 + $M$5*'Cancel Curves'!$J$12 + $N$5*'Cancel Curves'!$I$12 + $O$5*'Cancel Curves'!$H$12 + $P$5*'Cancel Curves'!$G$12 + $Q$5*'Cancel Curves'!$F$12 + $R$5*'Cancel Curves'!$E$12 + $S$5*'Cancel Curves'!$D$12 + $T$5*'Cancel Curves'!$C$12 + $U$5*'Cancel Curves'!$B$12)*Assumptions!$B$76</f>
        <v/>
      </c>
      <c r="V13" s="77">
        <f>($K$5*'Cancel Curves'!$M$12 + $L$5*'Cancel Curves'!$L$12 + $M$5*'Cancel Curves'!$K$12 + $N$5*'Cancel Curves'!$J$12 + $O$5*'Cancel Curves'!$I$12 + $P$5*'Cancel Curves'!$H$12 + $Q$5*'Cancel Curves'!$G$12 + $R$5*'Cancel Curves'!$F$12 + $S$5*'Cancel Curves'!$E$12 + $T$5*'Cancel Curves'!$D$12 + $U$5*'Cancel Curves'!$C$12 + $V$5*'Cancel Curves'!$B$12)*Assumptions!$B$76</f>
        <v/>
      </c>
      <c r="W13" s="77">
        <f>($L$5*'Cancel Curves'!$M$12 + $M$5*'Cancel Curves'!$L$12 + $N$5*'Cancel Curves'!$K$12 + $O$5*'Cancel Curves'!$J$12 + $P$5*'Cancel Curves'!$I$12 + $Q$5*'Cancel Curves'!$H$12 + $R$5*'Cancel Curves'!$G$12 + $S$5*'Cancel Curves'!$F$12 + $T$5*'Cancel Curves'!$E$12 + $U$5*'Cancel Curves'!$D$12 + $V$5*'Cancel Curves'!$C$12 + $W$5*'Cancel Curves'!$B$12)*Assumptions!$B$76</f>
        <v/>
      </c>
      <c r="X13" s="77">
        <f>($M$5*'Cancel Curves'!$M$12 + $N$5*'Cancel Curves'!$L$12 + $O$5*'Cancel Curves'!$K$12 + $P$5*'Cancel Curves'!$J$12 + $Q$5*'Cancel Curves'!$I$12 + $R$5*'Cancel Curves'!$H$12 + $S$5*'Cancel Curves'!$G$12 + $T$5*'Cancel Curves'!$F$12 + $U$5*'Cancel Curves'!$E$12 + $V$5*'Cancel Curves'!$D$12 + $W$5*'Cancel Curves'!$C$12 + $X$5*'Cancel Curves'!$B$12)*Assumptions!$B$76</f>
        <v/>
      </c>
      <c r="Y13" s="77">
        <f>($N$5*'Cancel Curves'!$M$12 + $O$5*'Cancel Curves'!$L$12 + $P$5*'Cancel Curves'!$K$12 + $Q$5*'Cancel Curves'!$J$12 + $R$5*'Cancel Curves'!$I$12 + $S$5*'Cancel Curves'!$H$12 + $T$5*'Cancel Curves'!$G$12 + $U$5*'Cancel Curves'!$F$12 + $V$5*'Cancel Curves'!$E$12 + $W$5*'Cancel Curves'!$D$12 + $X$5*'Cancel Curves'!$C$12 + $Y$5*'Cancel Curves'!$B$12)*Assumptions!$B$76</f>
        <v/>
      </c>
      <c r="Z13" s="77">
        <f>($O$5*'Cancel Curves'!$M$12 + $P$5*'Cancel Curves'!$L$12 + $Q$5*'Cancel Curves'!$K$12 + $R$5*'Cancel Curves'!$J$12 + $S$5*'Cancel Curves'!$I$12 + $T$5*'Cancel Curves'!$H$12 + $U$5*'Cancel Curves'!$G$12 + $V$5*'Cancel Curves'!$F$12 + $W$5*'Cancel Curves'!$E$12 + $X$5*'Cancel Curves'!$D$12 + $Y$5*'Cancel Curves'!$C$12 + $Z$5*'Cancel Curves'!$B$12)*Assumptions!$B$76</f>
        <v/>
      </c>
      <c r="AA13" s="77">
        <f>($P$5*'Cancel Curves'!$M$12 + $Q$5*'Cancel Curves'!$L$12 + $R$5*'Cancel Curves'!$K$12 + $S$5*'Cancel Curves'!$J$12 + $T$5*'Cancel Curves'!$I$12 + $U$5*'Cancel Curves'!$H$12 + $V$5*'Cancel Curves'!$G$12 + $W$5*'Cancel Curves'!$F$12 + $X$5*'Cancel Curves'!$E$12 + $Y$5*'Cancel Curves'!$D$12 + $Z$5*'Cancel Curves'!$C$12 + $AA$5*'Cancel Curves'!$B$12)*Assumptions!$B$76</f>
        <v/>
      </c>
      <c r="AB13" s="77">
        <f>($Q$5*'Cancel Curves'!$M$12 + $R$5*'Cancel Curves'!$L$12 + $S$5*'Cancel Curves'!$K$12 + $T$5*'Cancel Curves'!$J$12 + $U$5*'Cancel Curves'!$I$12 + $V$5*'Cancel Curves'!$H$12 + $W$5*'Cancel Curves'!$G$12 + $X$5*'Cancel Curves'!$F$12 + $Y$5*'Cancel Curves'!$E$12 + $Z$5*'Cancel Curves'!$D$12 + $AA$5*'Cancel Curves'!$C$12 + $AB$5*'Cancel Curves'!$B$12)*Assumptions!$B$76</f>
        <v/>
      </c>
      <c r="AC13" s="77">
        <f>($R$5*'Cancel Curves'!$M$12 + $S$5*'Cancel Curves'!$L$12 + $T$5*'Cancel Curves'!$K$12 + $U$5*'Cancel Curves'!$J$12 + $V$5*'Cancel Curves'!$I$12 + $W$5*'Cancel Curves'!$H$12 + $X$5*'Cancel Curves'!$G$12 + $Y$5*'Cancel Curves'!$F$12 + $Z$5*'Cancel Curves'!$E$12 + $AA$5*'Cancel Curves'!$D$12 + $AB$5*'Cancel Curves'!$C$12 + $AC$5*'Cancel Curves'!$B$12)*Assumptions!$B$76</f>
        <v/>
      </c>
      <c r="AD13" s="77">
        <f>($S$5*'Cancel Curves'!$M$12 + $T$5*'Cancel Curves'!$L$12 + $U$5*'Cancel Curves'!$K$12 + $V$5*'Cancel Curves'!$J$12 + $W$5*'Cancel Curves'!$I$12 + $X$5*'Cancel Curves'!$H$12 + $Y$5*'Cancel Curves'!$G$12 + $Z$5*'Cancel Curves'!$F$12 + $AA$5*'Cancel Curves'!$E$12 + $AB$5*'Cancel Curves'!$D$12 + $AC$5*'Cancel Curves'!$C$12 + $AD$5*'Cancel Curves'!$B$12)*Assumptions!$B$76</f>
        <v/>
      </c>
      <c r="AE13" s="77">
        <f>($T$5*'Cancel Curves'!$M$12 + $U$5*'Cancel Curves'!$L$12 + $V$5*'Cancel Curves'!$K$12 + $W$5*'Cancel Curves'!$J$12 + $X$5*'Cancel Curves'!$I$12 + $Y$5*'Cancel Curves'!$H$12 + $Z$5*'Cancel Curves'!$G$12 + $AA$5*'Cancel Curves'!$F$12 + $AB$5*'Cancel Curves'!$E$12 + $AC$5*'Cancel Curves'!$D$12 + $AD$5*'Cancel Curves'!$C$12 + $AE$5*'Cancel Curves'!$B$12)*Assumptions!$B$76</f>
        <v/>
      </c>
      <c r="AF13" s="77">
        <f>($U$5*'Cancel Curves'!$M$12 + $V$5*'Cancel Curves'!$L$12 + $W$5*'Cancel Curves'!$K$12 + $X$5*'Cancel Curves'!$J$12 + $Y$5*'Cancel Curves'!$I$12 + $Z$5*'Cancel Curves'!$H$12 + $AA$5*'Cancel Curves'!$G$12 + $AB$5*'Cancel Curves'!$F$12 + $AC$5*'Cancel Curves'!$E$12 + $AD$5*'Cancel Curves'!$D$12 + $AE$5*'Cancel Curves'!$C$12 + $AF$5*'Cancel Curves'!$B$12)*Assumptions!$B$76</f>
        <v/>
      </c>
      <c r="AG13" s="77">
        <f>($V$5*'Cancel Curves'!$M$12 + $W$5*'Cancel Curves'!$L$12 + $X$5*'Cancel Curves'!$K$12 + $Y$5*'Cancel Curves'!$J$12 + $Z$5*'Cancel Curves'!$I$12 + $AA$5*'Cancel Curves'!$H$12 + $AB$5*'Cancel Curves'!$G$12 + $AC$5*'Cancel Curves'!$F$12 + $AD$5*'Cancel Curves'!$E$12 + $AE$5*'Cancel Curves'!$D$12 + $AF$5*'Cancel Curves'!$C$12 + $AG$5*'Cancel Curves'!$B$12)*Assumptions!$B$76</f>
        <v/>
      </c>
      <c r="AH13" s="77">
        <f>($W$5*'Cancel Curves'!$M$12 + $X$5*'Cancel Curves'!$L$12 + $Y$5*'Cancel Curves'!$K$12 + $Z$5*'Cancel Curves'!$J$12 + $AA$5*'Cancel Curves'!$I$12 + $AB$5*'Cancel Curves'!$H$12 + $AC$5*'Cancel Curves'!$G$12 + $AD$5*'Cancel Curves'!$F$12 + $AE$5*'Cancel Curves'!$E$12 + $AF$5*'Cancel Curves'!$D$12 + $AG$5*'Cancel Curves'!$C$12 + $AH$5*'Cancel Curves'!$B$12)*Assumptions!$B$76</f>
        <v/>
      </c>
      <c r="AI13" s="77">
        <f>($X$5*'Cancel Curves'!$M$12 + $Y$5*'Cancel Curves'!$L$12 + $Z$5*'Cancel Curves'!$K$12 + $AA$5*'Cancel Curves'!$J$12 + $AB$5*'Cancel Curves'!$I$12 + $AC$5*'Cancel Curves'!$H$12 + $AD$5*'Cancel Curves'!$G$12 + $AE$5*'Cancel Curves'!$F$12 + $AF$5*'Cancel Curves'!$E$12 + $AG$5*'Cancel Curves'!$D$12 + $AH$5*'Cancel Curves'!$C$12 + $AI$5*'Cancel Curves'!$B$12)*Assumptions!$B$76</f>
        <v/>
      </c>
      <c r="AJ13" s="77">
        <f>($Y$5*'Cancel Curves'!$M$12 + $Z$5*'Cancel Curves'!$L$12 + $AA$5*'Cancel Curves'!$K$12 + $AB$5*'Cancel Curves'!$J$12 + $AC$5*'Cancel Curves'!$I$12 + $AD$5*'Cancel Curves'!$H$12 + $AE$5*'Cancel Curves'!$G$12 + $AF$5*'Cancel Curves'!$F$12 + $AG$5*'Cancel Curves'!$E$12 + $AH$5*'Cancel Curves'!$D$12 + $AI$5*'Cancel Curves'!$C$12 + $AJ$5*'Cancel Curves'!$B$12)*Assumptions!$B$76</f>
        <v/>
      </c>
      <c r="AK13" s="77">
        <f>($Z$5*'Cancel Curves'!$M$12 + $AA$5*'Cancel Curves'!$L$12 + $AB$5*'Cancel Curves'!$K$12 + $AC$5*'Cancel Curves'!$J$12 + $AD$5*'Cancel Curves'!$I$12 + $AE$5*'Cancel Curves'!$H$12 + $AF$5*'Cancel Curves'!$G$12 + $AG$5*'Cancel Curves'!$F$12 + $AH$5*'Cancel Curves'!$E$12 + $AI$5*'Cancel Curves'!$D$12 + $AJ$5*'Cancel Curves'!$C$12 + $AK$5*'Cancel Curves'!$B$12)*Assumptions!$B$76</f>
        <v/>
      </c>
      <c r="AL13" s="77">
        <f>($AA$5*'Cancel Curves'!$M$12 + $AB$5*'Cancel Curves'!$L$12 + $AC$5*'Cancel Curves'!$K$12 + $AD$5*'Cancel Curves'!$J$12 + $AE$5*'Cancel Curves'!$I$12 + $AF$5*'Cancel Curves'!$H$12 + $AG$5*'Cancel Curves'!$G$12 + $AH$5*'Cancel Curves'!$F$12 + $AI$5*'Cancel Curves'!$E$12 + $AJ$5*'Cancel Curves'!$D$12 + $AK$5*'Cancel Curves'!$C$12 + $AL$5*'Cancel Curves'!$B$12)*Assumptions!$B$76</f>
        <v/>
      </c>
      <c r="AM13" s="77">
        <f>($AB$5*'Cancel Curves'!$M$12 + $AC$5*'Cancel Curves'!$L$12 + $AD$5*'Cancel Curves'!$K$12 + $AE$5*'Cancel Curves'!$J$12 + $AF$5*'Cancel Curves'!$I$12 + $AG$5*'Cancel Curves'!$H$12 + $AH$5*'Cancel Curves'!$G$12 + $AI$5*'Cancel Curves'!$F$12 + $AJ$5*'Cancel Curves'!$E$12 + $AK$5*'Cancel Curves'!$D$12 + $AL$5*'Cancel Curves'!$C$12 + $AM$5*'Cancel Curves'!$B$12)*Assumptions!$B$76</f>
        <v/>
      </c>
      <c r="AN13" s="77">
        <f>($AC$5*'Cancel Curves'!$M$12 + $AD$5*'Cancel Curves'!$L$12 + $AE$5*'Cancel Curves'!$K$12 + $AF$5*'Cancel Curves'!$J$12 + $AG$5*'Cancel Curves'!$I$12 + $AH$5*'Cancel Curves'!$H$12 + $AI$5*'Cancel Curves'!$G$12 + $AJ$5*'Cancel Curves'!$F$12 + $AK$5*'Cancel Curves'!$E$12 + $AL$5*'Cancel Curves'!$D$12 + $AM$5*'Cancel Curves'!$C$12 + $AN$5*'Cancel Curves'!$B$12)*Assumptions!$B$76</f>
        <v/>
      </c>
      <c r="AO13" s="77">
        <f>($AD$5*'Cancel Curves'!$M$12 + $AE$5*'Cancel Curves'!$L$12 + $AF$5*'Cancel Curves'!$K$12 + $AG$5*'Cancel Curves'!$J$12 + $AH$5*'Cancel Curves'!$I$12 + $AI$5*'Cancel Curves'!$H$12 + $AJ$5*'Cancel Curves'!$G$12 + $AK$5*'Cancel Curves'!$F$12 + $AL$5*'Cancel Curves'!$E$12 + $AM$5*'Cancel Curves'!$D$12 + $AN$5*'Cancel Curves'!$C$12 + $AO$5*'Cancel Curves'!$B$12)*Assumptions!$B$76</f>
        <v/>
      </c>
      <c r="AP13" s="77">
        <f>($AE$5*'Cancel Curves'!$M$12 + $AF$5*'Cancel Curves'!$L$12 + $AG$5*'Cancel Curves'!$K$12 + $AH$5*'Cancel Curves'!$J$12 + $AI$5*'Cancel Curves'!$I$12 + $AJ$5*'Cancel Curves'!$H$12 + $AK$5*'Cancel Curves'!$G$12 + $AL$5*'Cancel Curves'!$F$12 + $AM$5*'Cancel Curves'!$E$12 + $AN$5*'Cancel Curves'!$D$12 + $AO$5*'Cancel Curves'!$C$12 + $AP$5*'Cancel Curves'!$B$12)*Assumptions!$B$76</f>
        <v/>
      </c>
      <c r="AQ13" s="77">
        <f>($AF$5*'Cancel Curves'!$M$12 + $AG$5*'Cancel Curves'!$L$12 + $AH$5*'Cancel Curves'!$K$12 + $AI$5*'Cancel Curves'!$J$12 + $AJ$5*'Cancel Curves'!$I$12 + $AK$5*'Cancel Curves'!$H$12 + $AL$5*'Cancel Curves'!$G$12 + $AM$5*'Cancel Curves'!$F$12 + $AN$5*'Cancel Curves'!$E$12 + $AO$5*'Cancel Curves'!$D$12 + $AP$5*'Cancel Curves'!$C$12 + $AQ$5*'Cancel Curves'!$B$12)*Assumptions!$B$76</f>
        <v/>
      </c>
      <c r="AR13" s="77">
        <f>($AG$5*'Cancel Curves'!$M$12 + $AH$5*'Cancel Curves'!$L$12 + $AI$5*'Cancel Curves'!$K$12 + $AJ$5*'Cancel Curves'!$J$12 + $AK$5*'Cancel Curves'!$I$12 + $AL$5*'Cancel Curves'!$H$12 + $AM$5*'Cancel Curves'!$G$12 + $AN$5*'Cancel Curves'!$F$12 + $AO$5*'Cancel Curves'!$E$12 + $AP$5*'Cancel Curves'!$D$12 + $AQ$5*'Cancel Curves'!$C$12 + $AR$5*'Cancel Curves'!$B$12)*Assumptions!$B$76</f>
        <v/>
      </c>
      <c r="AS13" s="77">
        <f>($AH$5*'Cancel Curves'!$M$12 + $AI$5*'Cancel Curves'!$L$12 + $AJ$5*'Cancel Curves'!$K$12 + $AK$5*'Cancel Curves'!$J$12 + $AL$5*'Cancel Curves'!$I$12 + $AM$5*'Cancel Curves'!$H$12 + $AN$5*'Cancel Curves'!$G$12 + $AO$5*'Cancel Curves'!$F$12 + $AP$5*'Cancel Curves'!$E$12 + $AQ$5*'Cancel Curves'!$D$12 + $AR$5*'Cancel Curves'!$C$12 + $AS$5*'Cancel Curves'!$B$12)*Assumptions!$B$76</f>
        <v/>
      </c>
      <c r="AT13" s="77">
        <f>($AI$5*'Cancel Curves'!$M$12 + $AJ$5*'Cancel Curves'!$L$12 + $AK$5*'Cancel Curves'!$K$12 + $AL$5*'Cancel Curves'!$J$12 + $AM$5*'Cancel Curves'!$I$12 + $AN$5*'Cancel Curves'!$H$12 + $AO$5*'Cancel Curves'!$G$12 + $AP$5*'Cancel Curves'!$F$12 + $AQ$5*'Cancel Curves'!$E$12 + $AR$5*'Cancel Curves'!$D$12 + $AS$5*'Cancel Curves'!$C$12 + $AT$5*'Cancel Curves'!$B$12)*Assumptions!$B$76</f>
        <v/>
      </c>
      <c r="AU13" s="77">
        <f>($AJ$5*'Cancel Curves'!$M$12 + $AK$5*'Cancel Curves'!$L$12 + $AL$5*'Cancel Curves'!$K$12 + $AM$5*'Cancel Curves'!$J$12 + $AN$5*'Cancel Curves'!$I$12 + $AO$5*'Cancel Curves'!$H$12 + $AP$5*'Cancel Curves'!$G$12 + $AQ$5*'Cancel Curves'!$F$12 + $AR$5*'Cancel Curves'!$E$12 + $AS$5*'Cancel Curves'!$D$12 + $AT$5*'Cancel Curves'!$C$12 + $AU$5*'Cancel Curves'!$B$12)*Assumptions!$B$76</f>
        <v/>
      </c>
      <c r="AV13" s="77">
        <f>($AK$5*'Cancel Curves'!$M$12 + $AL$5*'Cancel Curves'!$L$12 + $AM$5*'Cancel Curves'!$K$12 + $AN$5*'Cancel Curves'!$J$12 + $AO$5*'Cancel Curves'!$I$12 + $AP$5*'Cancel Curves'!$H$12 + $AQ$5*'Cancel Curves'!$G$12 + $AR$5*'Cancel Curves'!$F$12 + $AS$5*'Cancel Curves'!$E$12 + $AT$5*'Cancel Curves'!$D$12 + $AU$5*'Cancel Curves'!$C$12 + $AV$5*'Cancel Curves'!$B$12)*Assumptions!$B$76</f>
        <v/>
      </c>
      <c r="AW13" s="77">
        <f>($AL$5*'Cancel Curves'!$M$12 + $AM$5*'Cancel Curves'!$L$12 + $AN$5*'Cancel Curves'!$K$12 + $AO$5*'Cancel Curves'!$J$12 + $AP$5*'Cancel Curves'!$I$12 + $AQ$5*'Cancel Curves'!$H$12 + $AR$5*'Cancel Curves'!$G$12 + $AS$5*'Cancel Curves'!$F$12 + $AT$5*'Cancel Curves'!$E$12 + $AU$5*'Cancel Curves'!$D$12 + $AV$5*'Cancel Curves'!$C$12 + $AW$5*'Cancel Curves'!$B$12)*Assumptions!$B$76</f>
        <v/>
      </c>
      <c r="AX13" s="77">
        <f>($AM$5*'Cancel Curves'!$M$12 + $AN$5*'Cancel Curves'!$L$12 + $AO$5*'Cancel Curves'!$K$12 + $AP$5*'Cancel Curves'!$J$12 + $AQ$5*'Cancel Curves'!$I$12 + $AR$5*'Cancel Curves'!$H$12 + $AS$5*'Cancel Curves'!$G$12 + $AT$5*'Cancel Curves'!$F$12 + $AU$5*'Cancel Curves'!$E$12 + $AV$5*'Cancel Curves'!$D$12 + $AW$5*'Cancel Curves'!$C$12 + $AX$5*'Cancel Curves'!$B$12)*Assumptions!$B$76</f>
        <v/>
      </c>
      <c r="AY13" s="77">
        <f>($AN$5*'Cancel Curves'!$M$12 + $AO$5*'Cancel Curves'!$L$12 + $AP$5*'Cancel Curves'!$K$12 + $AQ$5*'Cancel Curves'!$J$12 + $AR$5*'Cancel Curves'!$I$12 + $AS$5*'Cancel Curves'!$H$12 + $AT$5*'Cancel Curves'!$G$12 + $AU$5*'Cancel Curves'!$F$12 + $AV$5*'Cancel Curves'!$E$12 + $AW$5*'Cancel Curves'!$D$12 + $AX$5*'Cancel Curves'!$C$12 + $AY$5*'Cancel Curves'!$B$12)*Assumptions!$B$76</f>
        <v/>
      </c>
      <c r="AZ13" s="77">
        <f>($AO$5*'Cancel Curves'!$M$12 + $AP$5*'Cancel Curves'!$L$12 + $AQ$5*'Cancel Curves'!$K$12 + $AR$5*'Cancel Curves'!$J$12 + $AS$5*'Cancel Curves'!$I$12 + $AT$5*'Cancel Curves'!$H$12 + $AU$5*'Cancel Curves'!$G$12 + $AV$5*'Cancel Curves'!$F$12 + $AW$5*'Cancel Curves'!$E$12 + $AX$5*'Cancel Curves'!$D$12 + $AY$5*'Cancel Curves'!$C$12 + $AZ$5*'Cancel Curves'!$B$12)*Assumptions!$B$76</f>
        <v/>
      </c>
      <c r="BA13" s="77">
        <f>($AP$5*'Cancel Curves'!$M$12 + $AQ$5*'Cancel Curves'!$L$12 + $AR$5*'Cancel Curves'!$K$12 + $AS$5*'Cancel Curves'!$J$12 + $AT$5*'Cancel Curves'!$I$12 + $AU$5*'Cancel Curves'!$H$12 + $AV$5*'Cancel Curves'!$G$12 + $AW$5*'Cancel Curves'!$F$12 + $AX$5*'Cancel Curves'!$E$12 + $AY$5*'Cancel Curves'!$D$12 + $AZ$5*'Cancel Curves'!$C$12 + $BA$5*'Cancel Curves'!$B$12)*Assumptions!$B$76</f>
        <v/>
      </c>
      <c r="BB13" s="77">
        <f>($AQ$5*'Cancel Curves'!$M$12 + $AR$5*'Cancel Curves'!$L$12 + $AS$5*'Cancel Curves'!$K$12 + $AT$5*'Cancel Curves'!$J$12 + $AU$5*'Cancel Curves'!$I$12 + $AV$5*'Cancel Curves'!$H$12 + $AW$5*'Cancel Curves'!$G$12 + $AX$5*'Cancel Curves'!$F$12 + $AY$5*'Cancel Curves'!$E$12 + $AZ$5*'Cancel Curves'!$D$12 + $BA$5*'Cancel Curves'!$C$12 + $BB$5*'Cancel Curves'!$B$12)*Assumptions!$B$76</f>
        <v/>
      </c>
      <c r="BC13" s="77">
        <f>($AR$5*'Cancel Curves'!$M$12 + $AS$5*'Cancel Curves'!$L$12 + $AT$5*'Cancel Curves'!$K$12 + $AU$5*'Cancel Curves'!$J$12 + $AV$5*'Cancel Curves'!$I$12 + $AW$5*'Cancel Curves'!$H$12 + $AX$5*'Cancel Curves'!$G$12 + $AY$5*'Cancel Curves'!$F$12 + $AZ$5*'Cancel Curves'!$E$12 + $BA$5*'Cancel Curves'!$D$12 + $BB$5*'Cancel Curves'!$C$12 + $BC$5*'Cancel Curves'!$B$12)*Assumptions!$B$76</f>
        <v/>
      </c>
      <c r="BD13" s="77">
        <f>($AS$5*'Cancel Curves'!$M$12 + $AT$5*'Cancel Curves'!$L$12 + $AU$5*'Cancel Curves'!$K$12 + $AV$5*'Cancel Curves'!$J$12 + $AW$5*'Cancel Curves'!$I$12 + $AX$5*'Cancel Curves'!$H$12 + $AY$5*'Cancel Curves'!$G$12 + $AZ$5*'Cancel Curves'!$F$12 + $BA$5*'Cancel Curves'!$E$12 + $BB$5*'Cancel Curves'!$D$12 + $BC$5*'Cancel Curves'!$C$12 + $BD$5*'Cancel Curves'!$B$12)*Assumptions!$B$76</f>
        <v/>
      </c>
      <c r="BE13" s="77">
        <f>($AT$5*'Cancel Curves'!$M$12 + $AU$5*'Cancel Curves'!$L$12 + $AV$5*'Cancel Curves'!$K$12 + $AW$5*'Cancel Curves'!$J$12 + $AX$5*'Cancel Curves'!$I$12 + $AY$5*'Cancel Curves'!$H$12 + $AZ$5*'Cancel Curves'!$G$12 + $BA$5*'Cancel Curves'!$F$12 + $BB$5*'Cancel Curves'!$E$12 + $BC$5*'Cancel Curves'!$D$12 + $BD$5*'Cancel Curves'!$C$12 + $BE$5*'Cancel Curves'!$B$12)*Assumptions!$B$76</f>
        <v/>
      </c>
      <c r="BF13" s="77">
        <f>($AU$5*'Cancel Curves'!$M$12 + $AV$5*'Cancel Curves'!$L$12 + $AW$5*'Cancel Curves'!$K$12 + $AX$5*'Cancel Curves'!$J$12 + $AY$5*'Cancel Curves'!$I$12 + $AZ$5*'Cancel Curves'!$H$12 + $BA$5*'Cancel Curves'!$G$12 + $BB$5*'Cancel Curves'!$F$12 + $BC$5*'Cancel Curves'!$E$12 + $BD$5*'Cancel Curves'!$D$12 + $BE$5*'Cancel Curves'!$C$12 + $BF$5*'Cancel Curves'!$B$12)*Assumptions!$B$76</f>
        <v/>
      </c>
      <c r="BG13" s="77">
        <f>($AV$5*'Cancel Curves'!$M$12 + $AW$5*'Cancel Curves'!$L$12 + $AX$5*'Cancel Curves'!$K$12 + $AY$5*'Cancel Curves'!$J$12 + $AZ$5*'Cancel Curves'!$I$12 + $BA$5*'Cancel Curves'!$H$12 + $BB$5*'Cancel Curves'!$G$12 + $BC$5*'Cancel Curves'!$F$12 + $BD$5*'Cancel Curves'!$E$12 + $BE$5*'Cancel Curves'!$D$12 + $BF$5*'Cancel Curves'!$C$12 + $BG$5*'Cancel Curves'!$B$12)*Assumptions!$B$76</f>
        <v/>
      </c>
      <c r="BH13" s="77">
        <f>($AW$5*'Cancel Curves'!$M$12 + $AX$5*'Cancel Curves'!$L$12 + $AY$5*'Cancel Curves'!$K$12 + $AZ$5*'Cancel Curves'!$J$12 + $BA$5*'Cancel Curves'!$I$12 + $BB$5*'Cancel Curves'!$H$12 + $BC$5*'Cancel Curves'!$G$12 + $BD$5*'Cancel Curves'!$F$12 + $BE$5*'Cancel Curves'!$E$12 + $BF$5*'Cancel Curves'!$D$12 + $BG$5*'Cancel Curves'!$C$12 + $BH$5*'Cancel Curves'!$B$12)*Assumptions!$B$76</f>
        <v/>
      </c>
      <c r="BI13" s="77">
        <f>($AX$5*'Cancel Curves'!$M$12 + $AY$5*'Cancel Curves'!$L$12 + $AZ$5*'Cancel Curves'!$K$12 + $BA$5*'Cancel Curves'!$J$12 + $BB$5*'Cancel Curves'!$I$12 + $BC$5*'Cancel Curves'!$H$12 + $BD$5*'Cancel Curves'!$G$12 + $BE$5*'Cancel Curves'!$F$12 + $BF$5*'Cancel Curves'!$E$12 + $BG$5*'Cancel Curves'!$D$12 + $BH$5*'Cancel Curves'!$C$12 + $BI$5*'Cancel Curves'!$B$12)*Assumptions!$B$76</f>
        <v/>
      </c>
      <c r="BJ13" s="77">
        <f>($AY$5*'Cancel Curves'!$M$12 + $AZ$5*'Cancel Curves'!$L$12 + $BA$5*'Cancel Curves'!$K$12 + $BB$5*'Cancel Curves'!$J$12 + $BC$5*'Cancel Curves'!$I$12 + $BD$5*'Cancel Curves'!$H$12 + $BE$5*'Cancel Curves'!$G$12 + $BF$5*'Cancel Curves'!$F$12 + $BG$5*'Cancel Curves'!$E$12 + $BH$5*'Cancel Curves'!$D$12 + $BI$5*'Cancel Curves'!$C$12 + $BJ$5*'Cancel Curves'!$B$12)*Assumptions!$B$76</f>
        <v/>
      </c>
      <c r="BK13" s="77">
        <f>($AZ$5*'Cancel Curves'!$M$12 + $BA$5*'Cancel Curves'!$L$12 + $BB$5*'Cancel Curves'!$K$12 + $BC$5*'Cancel Curves'!$J$12 + $BD$5*'Cancel Curves'!$I$12 + $BE$5*'Cancel Curves'!$H$12 + $BF$5*'Cancel Curves'!$G$12 + $BG$5*'Cancel Curves'!$F$12 + $BH$5*'Cancel Curves'!$E$12 + $BI$5*'Cancel Curves'!$D$12 + $BJ$5*'Cancel Curves'!$C$12 + $BK$5*'Cancel Curves'!$B$12)*Assumptions!$B$76</f>
        <v/>
      </c>
      <c r="BL13" s="77">
        <f>($BA$5*'Cancel Curves'!$M$12 + $BB$5*'Cancel Curves'!$L$12 + $BC$5*'Cancel Curves'!$K$12 + $BD$5*'Cancel Curves'!$J$12 + $BE$5*'Cancel Curves'!$I$12 + $BF$5*'Cancel Curves'!$H$12 + $BG$5*'Cancel Curves'!$G$12 + $BH$5*'Cancel Curves'!$F$12 + $BI$5*'Cancel Curves'!$E$12 + $BJ$5*'Cancel Curves'!$D$12 + $BK$5*'Cancel Curves'!$C$12 + $BL$5*'Cancel Curves'!$B$12)*Assumptions!$B$76</f>
        <v/>
      </c>
      <c r="BM13" s="77">
        <f>($BB$5*'Cancel Curves'!$M$12 + $BC$5*'Cancel Curves'!$L$12 + $BD$5*'Cancel Curves'!$K$12 + $BE$5*'Cancel Curves'!$J$12 + $BF$5*'Cancel Curves'!$I$12 + $BG$5*'Cancel Curves'!$H$12 + $BH$5*'Cancel Curves'!$G$12 + $BI$5*'Cancel Curves'!$F$12 + $BJ$5*'Cancel Curves'!$E$12 + $BK$5*'Cancel Curves'!$D$12 + $BL$5*'Cancel Curves'!$C$12 + $BM$5*'Cancel Curves'!$B$12)*Assumptions!$B$76</f>
        <v/>
      </c>
      <c r="BN13" s="77">
        <f>($BC$5*'Cancel Curves'!$M$12 + $BD$5*'Cancel Curves'!$L$12 + $BE$5*'Cancel Curves'!$K$12 + $BF$5*'Cancel Curves'!$J$12 + $BG$5*'Cancel Curves'!$I$12 + $BH$5*'Cancel Curves'!$H$12 + $BI$5*'Cancel Curves'!$G$12 + $BJ$5*'Cancel Curves'!$F$12 + $BK$5*'Cancel Curves'!$E$12 + $BL$5*'Cancel Curves'!$D$12 + $BM$5*'Cancel Curves'!$C$12 + $BN$5*'Cancel Curves'!$B$12)*Assumptions!$B$76</f>
        <v/>
      </c>
      <c r="BO13" s="77">
        <f>($BD$5*'Cancel Curves'!$M$12 + $BE$5*'Cancel Curves'!$L$12 + $BF$5*'Cancel Curves'!$K$12 + $BG$5*'Cancel Curves'!$J$12 + $BH$5*'Cancel Curves'!$I$12 + $BI$5*'Cancel Curves'!$H$12 + $BJ$5*'Cancel Curves'!$G$12 + $BK$5*'Cancel Curves'!$F$12 + $BL$5*'Cancel Curves'!$E$12 + $BM$5*'Cancel Curves'!$D$12 + $BN$5*'Cancel Curves'!$C$12 + $BO$5*'Cancel Curves'!$B$12)*Assumptions!$B$76</f>
        <v/>
      </c>
      <c r="BP13" s="77">
        <f>($BE$5*'Cancel Curves'!$M$12 + $BF$5*'Cancel Curves'!$L$12 + $BG$5*'Cancel Curves'!$K$12 + $BH$5*'Cancel Curves'!$J$12 + $BI$5*'Cancel Curves'!$I$12 + $BJ$5*'Cancel Curves'!$H$12 + $BK$5*'Cancel Curves'!$G$12 + $BL$5*'Cancel Curves'!$F$12 + $BM$5*'Cancel Curves'!$E$12 + $BN$5*'Cancel Curves'!$D$12 + $BO$5*'Cancel Curves'!$C$12 + $BP$5*'Cancel Curves'!$B$12)*Assumptions!$B$76</f>
        <v/>
      </c>
      <c r="BQ13" s="77">
        <f>($BF$5*'Cancel Curves'!$M$12 + $BG$5*'Cancel Curves'!$L$12 + $BH$5*'Cancel Curves'!$K$12 + $BI$5*'Cancel Curves'!$J$12 + $BJ$5*'Cancel Curves'!$I$12 + $BK$5*'Cancel Curves'!$H$12 + $BL$5*'Cancel Curves'!$G$12 + $BM$5*'Cancel Curves'!$F$12 + $BN$5*'Cancel Curves'!$E$12 + $BO$5*'Cancel Curves'!$D$12 + $BP$5*'Cancel Curves'!$C$12 + $BQ$5*'Cancel Curves'!$B$12)*Assumptions!$B$76</f>
        <v/>
      </c>
      <c r="BR13" s="77">
        <f>($BG$5*'Cancel Curves'!$M$12 + $BH$5*'Cancel Curves'!$L$12 + $BI$5*'Cancel Curves'!$K$12 + $BJ$5*'Cancel Curves'!$J$12 + $BK$5*'Cancel Curves'!$I$12 + $BL$5*'Cancel Curves'!$H$12 + $BM$5*'Cancel Curves'!$G$12 + $BN$5*'Cancel Curves'!$F$12 + $BO$5*'Cancel Curves'!$E$12 + $BP$5*'Cancel Curves'!$D$12 + $BQ$5*'Cancel Curves'!$C$12 + $BR$5*'Cancel Curves'!$B$12)*Assumptions!$B$76</f>
        <v/>
      </c>
      <c r="BS13" s="77">
        <f>($BH$5*'Cancel Curves'!$M$12 + $BI$5*'Cancel Curves'!$L$12 + $BJ$5*'Cancel Curves'!$K$12 + $BK$5*'Cancel Curves'!$J$12 + $BL$5*'Cancel Curves'!$I$12 + $BM$5*'Cancel Curves'!$H$12 + $BN$5*'Cancel Curves'!$G$12 + $BO$5*'Cancel Curves'!$F$12 + $BP$5*'Cancel Curves'!$E$12 + $BQ$5*'Cancel Curves'!$D$12 + $BR$5*'Cancel Curves'!$C$12 + $BS$5*'Cancel Curves'!$B$12)*Assumptions!$B$76</f>
        <v/>
      </c>
      <c r="BT13" s="77">
        <f>($BI$5*'Cancel Curves'!$M$12 + $BJ$5*'Cancel Curves'!$L$12 + $BK$5*'Cancel Curves'!$K$12 + $BL$5*'Cancel Curves'!$J$12 + $BM$5*'Cancel Curves'!$I$12 + $BN$5*'Cancel Curves'!$H$12 + $BO$5*'Cancel Curves'!$G$12 + $BP$5*'Cancel Curves'!$F$12 + $BQ$5*'Cancel Curves'!$E$12 + $BR$5*'Cancel Curves'!$D$12 + $BS$5*'Cancel Curves'!$C$12 + $BT$5*'Cancel Curves'!$B$12)*Assumptions!$B$76</f>
        <v/>
      </c>
      <c r="BU13" s="77">
        <f>($BJ$5*'Cancel Curves'!$M$12 + $BK$5*'Cancel Curves'!$L$12 + $BL$5*'Cancel Curves'!$K$12 + $BM$5*'Cancel Curves'!$J$12 + $BN$5*'Cancel Curves'!$I$12 + $BO$5*'Cancel Curves'!$H$12 + $BP$5*'Cancel Curves'!$G$12 + $BQ$5*'Cancel Curves'!$F$12 + $BR$5*'Cancel Curves'!$E$12 + $BS$5*'Cancel Curves'!$D$12 + $BT$5*'Cancel Curves'!$C$12 + $BU$5*'Cancel Curves'!$B$12)*Assumptions!$B$76</f>
        <v/>
      </c>
      <c r="BV13" s="77">
        <f>($BK$5*'Cancel Curves'!$M$12 + $BL$5*'Cancel Curves'!$L$12 + $BM$5*'Cancel Curves'!$K$12 + $BN$5*'Cancel Curves'!$J$12 + $BO$5*'Cancel Curves'!$I$12 + $BP$5*'Cancel Curves'!$H$12 + $BQ$5*'Cancel Curves'!$G$12 + $BR$5*'Cancel Curves'!$F$12 + $BS$5*'Cancel Curves'!$E$12 + $BT$5*'Cancel Curves'!$D$12 + $BU$5*'Cancel Curves'!$C$12 + $BV$5*'Cancel Curves'!$B$12)*Assumptions!$B$76</f>
        <v/>
      </c>
      <c r="BW13" s="77">
        <f>($BL$5*'Cancel Curves'!$M$12 + $BM$5*'Cancel Curves'!$L$12 + $BN$5*'Cancel Curves'!$K$12 + $BO$5*'Cancel Curves'!$J$12 + $BP$5*'Cancel Curves'!$I$12 + $BQ$5*'Cancel Curves'!$H$12 + $BR$5*'Cancel Curves'!$G$12 + $BS$5*'Cancel Curves'!$F$12 + $BT$5*'Cancel Curves'!$E$12 + $BU$5*'Cancel Curves'!$D$12 + $BV$5*'Cancel Curves'!$C$12 + $BW$5*'Cancel Curves'!$B$12)*Assumptions!$B$76</f>
        <v/>
      </c>
    </row>
    <row r="15">
      <c r="A15" s="1" t="inlineStr">
        <is>
          <t>Total revenue</t>
        </is>
      </c>
      <c r="D15" s="28">
        <f>D13</f>
        <v/>
      </c>
      <c r="E15" s="28">
        <f>E13</f>
        <v/>
      </c>
      <c r="F15" s="28">
        <f>F13</f>
        <v/>
      </c>
      <c r="G15" s="28">
        <f>G13</f>
        <v/>
      </c>
      <c r="H15" s="28">
        <f>H13</f>
        <v/>
      </c>
      <c r="I15" s="28">
        <f>I13</f>
        <v/>
      </c>
      <c r="J15" s="28">
        <f>J13</f>
        <v/>
      </c>
      <c r="K15" s="28">
        <f>K13</f>
        <v/>
      </c>
      <c r="L15" s="28">
        <f>L13</f>
        <v/>
      </c>
      <c r="M15" s="28">
        <f>M13</f>
        <v/>
      </c>
      <c r="N15" s="28">
        <f>N13</f>
        <v/>
      </c>
      <c r="O15" s="28">
        <f>O13</f>
        <v/>
      </c>
      <c r="P15" s="28">
        <f>P13</f>
        <v/>
      </c>
      <c r="Q15" s="28">
        <f>Q13</f>
        <v/>
      </c>
      <c r="R15" s="28">
        <f>R13</f>
        <v/>
      </c>
      <c r="S15" s="28">
        <f>S13</f>
        <v/>
      </c>
      <c r="T15" s="28">
        <f>T13</f>
        <v/>
      </c>
      <c r="U15" s="28">
        <f>U13</f>
        <v/>
      </c>
      <c r="V15" s="28">
        <f>V13</f>
        <v/>
      </c>
      <c r="W15" s="28">
        <f>W13</f>
        <v/>
      </c>
      <c r="X15" s="28">
        <f>X13</f>
        <v/>
      </c>
      <c r="Y15" s="28">
        <f>Y13</f>
        <v/>
      </c>
      <c r="Z15" s="28">
        <f>Z13</f>
        <v/>
      </c>
      <c r="AA15" s="28">
        <f>AA13</f>
        <v/>
      </c>
      <c r="AB15" s="28">
        <f>AB13</f>
        <v/>
      </c>
      <c r="AC15" s="28">
        <f>AC13</f>
        <v/>
      </c>
      <c r="AD15" s="28">
        <f>AD13</f>
        <v/>
      </c>
      <c r="AE15" s="28">
        <f>AE13</f>
        <v/>
      </c>
      <c r="AF15" s="28">
        <f>AF13</f>
        <v/>
      </c>
      <c r="AG15" s="28">
        <f>AG13</f>
        <v/>
      </c>
      <c r="AH15" s="28">
        <f>AH13</f>
        <v/>
      </c>
      <c r="AI15" s="28">
        <f>AI13</f>
        <v/>
      </c>
      <c r="AJ15" s="28">
        <f>AJ13</f>
        <v/>
      </c>
      <c r="AK15" s="28">
        <f>AK13</f>
        <v/>
      </c>
      <c r="AL15" s="28">
        <f>AL13</f>
        <v/>
      </c>
      <c r="AM15" s="28">
        <f>AM13</f>
        <v/>
      </c>
      <c r="AN15" s="28">
        <f>AN13</f>
        <v/>
      </c>
      <c r="AO15" s="28">
        <f>AO13</f>
        <v/>
      </c>
      <c r="AP15" s="28">
        <f>AP13</f>
        <v/>
      </c>
      <c r="AQ15" s="28">
        <f>AQ13</f>
        <v/>
      </c>
      <c r="AR15" s="28">
        <f>AR13</f>
        <v/>
      </c>
      <c r="AS15" s="28">
        <f>AS13</f>
        <v/>
      </c>
      <c r="AT15" s="28">
        <f>AT13</f>
        <v/>
      </c>
      <c r="AU15" s="28">
        <f>AU13</f>
        <v/>
      </c>
      <c r="AV15" s="28">
        <f>AV13</f>
        <v/>
      </c>
      <c r="AW15" s="28">
        <f>AW13</f>
        <v/>
      </c>
      <c r="AX15" s="28">
        <f>AX13</f>
        <v/>
      </c>
      <c r="AY15" s="28">
        <f>AY13</f>
        <v/>
      </c>
      <c r="AZ15" s="28">
        <f>AZ13</f>
        <v/>
      </c>
      <c r="BA15" s="28">
        <f>BA13</f>
        <v/>
      </c>
      <c r="BB15" s="28">
        <f>BB13</f>
        <v/>
      </c>
      <c r="BC15" s="28">
        <f>BC13</f>
        <v/>
      </c>
      <c r="BD15" s="28">
        <f>BD13</f>
        <v/>
      </c>
      <c r="BE15" s="28">
        <f>BE13</f>
        <v/>
      </c>
      <c r="BF15" s="28">
        <f>BF13</f>
        <v/>
      </c>
      <c r="BG15" s="28">
        <f>BG13</f>
        <v/>
      </c>
      <c r="BH15" s="28">
        <f>BH13</f>
        <v/>
      </c>
      <c r="BI15" s="28">
        <f>BI13</f>
        <v/>
      </c>
      <c r="BJ15" s="28">
        <f>BJ13</f>
        <v/>
      </c>
      <c r="BK15" s="28">
        <f>BK13</f>
        <v/>
      </c>
      <c r="BL15" s="28">
        <f>BL13</f>
        <v/>
      </c>
      <c r="BM15" s="28">
        <f>BM13</f>
        <v/>
      </c>
      <c r="BN15" s="28">
        <f>BN13</f>
        <v/>
      </c>
      <c r="BO15" s="28">
        <f>BO13</f>
        <v/>
      </c>
      <c r="BP15" s="28">
        <f>BP13</f>
        <v/>
      </c>
      <c r="BQ15" s="28">
        <f>BQ13</f>
        <v/>
      </c>
      <c r="BR15" s="28">
        <f>BR13</f>
        <v/>
      </c>
      <c r="BS15" s="28">
        <f>BS13</f>
        <v/>
      </c>
      <c r="BT15" s="28">
        <f>BT13</f>
        <v/>
      </c>
      <c r="BU15" s="28">
        <f>BU13</f>
        <v/>
      </c>
      <c r="BV15" s="28">
        <f>BV13</f>
        <v/>
      </c>
      <c r="BW15" s="28">
        <f>BW13</f>
        <v/>
      </c>
    </row>
    <row r="17">
      <c r="A17" s="97" t="inlineStr">
        <is>
          <t>COST OF SERVICE</t>
        </is>
      </c>
    </row>
    <row r="18">
      <c r="A18" t="inlineStr">
        <is>
          <t>Claims expense (active × claims reserve / 12)</t>
        </is>
      </c>
      <c r="D18" s="17">
        <f>IF(1&lt;Assumptions!$B$25,0,D6*Assumptions!$B$24/12)</f>
        <v/>
      </c>
      <c r="E18" s="17">
        <f>IF(2&lt;Assumptions!$B$25,0,E6*Assumptions!$B$24/12)</f>
        <v/>
      </c>
      <c r="F18" s="17">
        <f>IF(3&lt;Assumptions!$B$25,0,F6*Assumptions!$B$24/12)</f>
        <v/>
      </c>
      <c r="G18" s="17">
        <f>IF(4&lt;Assumptions!$B$25,0,G6*Assumptions!$B$24/12)</f>
        <v/>
      </c>
      <c r="H18" s="17">
        <f>IF(5&lt;Assumptions!$B$25,0,H6*Assumptions!$B$24/12)</f>
        <v/>
      </c>
      <c r="I18" s="17">
        <f>IF(6&lt;Assumptions!$B$25,0,I6*Assumptions!$B$24/12)</f>
        <v/>
      </c>
      <c r="J18" s="17">
        <f>IF(7&lt;Assumptions!$B$25,0,J6*Assumptions!$B$24/12)</f>
        <v/>
      </c>
      <c r="K18" s="17">
        <f>IF(8&lt;Assumptions!$B$25,0,K6*Assumptions!$B$24/12)</f>
        <v/>
      </c>
      <c r="L18" s="17">
        <f>IF(9&lt;Assumptions!$B$25,0,L6*Assumptions!$B$24/12)</f>
        <v/>
      </c>
      <c r="M18" s="17">
        <f>IF(10&lt;Assumptions!$B$25,0,M6*Assumptions!$B$24/12)</f>
        <v/>
      </c>
      <c r="N18" s="17">
        <f>IF(11&lt;Assumptions!$B$25,0,N6*Assumptions!$B$24/12)</f>
        <v/>
      </c>
      <c r="O18" s="17">
        <f>IF(12&lt;Assumptions!$B$25,0,O6*Assumptions!$B$24/12)</f>
        <v/>
      </c>
      <c r="P18" s="17">
        <f>IF(13&lt;Assumptions!$B$25,0,P6*Assumptions!$B$24/12)</f>
        <v/>
      </c>
      <c r="Q18" s="17">
        <f>IF(14&lt;Assumptions!$B$25,0,Q6*Assumptions!$B$24/12)</f>
        <v/>
      </c>
      <c r="R18" s="17">
        <f>IF(15&lt;Assumptions!$B$25,0,R6*Assumptions!$B$24/12)</f>
        <v/>
      </c>
      <c r="S18" s="17">
        <f>IF(16&lt;Assumptions!$B$25,0,S6*Assumptions!$B$24/12)</f>
        <v/>
      </c>
      <c r="T18" s="17">
        <f>IF(17&lt;Assumptions!$B$25,0,T6*Assumptions!$B$24/12)</f>
        <v/>
      </c>
      <c r="U18" s="17">
        <f>IF(18&lt;Assumptions!$B$25,0,U6*Assumptions!$B$24/12)</f>
        <v/>
      </c>
      <c r="V18" s="17">
        <f>IF(19&lt;Assumptions!$B$25,0,V6*Assumptions!$B$24/12)</f>
        <v/>
      </c>
      <c r="W18" s="17">
        <f>IF(20&lt;Assumptions!$B$25,0,W6*Assumptions!$B$24/12)</f>
        <v/>
      </c>
      <c r="X18" s="17">
        <f>IF(21&lt;Assumptions!$B$25,0,X6*Assumptions!$B$24/12)</f>
        <v/>
      </c>
      <c r="Y18" s="17">
        <f>IF(22&lt;Assumptions!$B$25,0,Y6*Assumptions!$B$24/12)</f>
        <v/>
      </c>
      <c r="Z18" s="17">
        <f>IF(23&lt;Assumptions!$B$25,0,Z6*Assumptions!$B$24/12)</f>
        <v/>
      </c>
      <c r="AA18" s="17">
        <f>IF(24&lt;Assumptions!$B$25,0,AA6*Assumptions!$B$24/12)</f>
        <v/>
      </c>
      <c r="AB18" s="17">
        <f>IF(25&lt;Assumptions!$B$25,0,AB6*Assumptions!$B$24/12)</f>
        <v/>
      </c>
      <c r="AC18" s="17">
        <f>IF(26&lt;Assumptions!$B$25,0,AC6*Assumptions!$B$24/12)</f>
        <v/>
      </c>
      <c r="AD18" s="17">
        <f>IF(27&lt;Assumptions!$B$25,0,AD6*Assumptions!$B$24/12)</f>
        <v/>
      </c>
      <c r="AE18" s="17">
        <f>IF(28&lt;Assumptions!$B$25,0,AE6*Assumptions!$B$24/12)</f>
        <v/>
      </c>
      <c r="AF18" s="17">
        <f>IF(29&lt;Assumptions!$B$25,0,AF6*Assumptions!$B$24/12)</f>
        <v/>
      </c>
      <c r="AG18" s="17">
        <f>IF(30&lt;Assumptions!$B$25,0,AG6*Assumptions!$B$24/12)</f>
        <v/>
      </c>
      <c r="AH18" s="17">
        <f>IF(31&lt;Assumptions!$B$25,0,AH6*Assumptions!$B$24/12)</f>
        <v/>
      </c>
      <c r="AI18" s="17">
        <f>IF(32&lt;Assumptions!$B$25,0,AI6*Assumptions!$B$24/12)</f>
        <v/>
      </c>
      <c r="AJ18" s="17">
        <f>IF(33&lt;Assumptions!$B$25,0,AJ6*Assumptions!$B$24/12)</f>
        <v/>
      </c>
      <c r="AK18" s="17">
        <f>IF(34&lt;Assumptions!$B$25,0,AK6*Assumptions!$B$24/12)</f>
        <v/>
      </c>
      <c r="AL18" s="17">
        <f>IF(35&lt;Assumptions!$B$25,0,AL6*Assumptions!$B$24/12)</f>
        <v/>
      </c>
      <c r="AM18" s="17">
        <f>IF(36&lt;Assumptions!$B$25,0,AM6*Assumptions!$B$24/12)</f>
        <v/>
      </c>
      <c r="AN18" s="17">
        <f>IF(37&lt;Assumptions!$B$25,0,AN6*Assumptions!$B$24/12)</f>
        <v/>
      </c>
      <c r="AO18" s="17">
        <f>IF(38&lt;Assumptions!$B$25,0,AO6*Assumptions!$B$24/12)</f>
        <v/>
      </c>
      <c r="AP18" s="17">
        <f>IF(39&lt;Assumptions!$B$25,0,AP6*Assumptions!$B$24/12)</f>
        <v/>
      </c>
      <c r="AQ18" s="17">
        <f>IF(40&lt;Assumptions!$B$25,0,AQ6*Assumptions!$B$24/12)</f>
        <v/>
      </c>
      <c r="AR18" s="17">
        <f>IF(41&lt;Assumptions!$B$25,0,AR6*Assumptions!$B$24/12)</f>
        <v/>
      </c>
      <c r="AS18" s="17">
        <f>IF(42&lt;Assumptions!$B$25,0,AS6*Assumptions!$B$24/12)</f>
        <v/>
      </c>
      <c r="AT18" s="17">
        <f>IF(43&lt;Assumptions!$B$25,0,AT6*Assumptions!$B$24/12)</f>
        <v/>
      </c>
      <c r="AU18" s="17">
        <f>IF(44&lt;Assumptions!$B$25,0,AU6*Assumptions!$B$24/12)</f>
        <v/>
      </c>
      <c r="AV18" s="17">
        <f>IF(45&lt;Assumptions!$B$25,0,AV6*Assumptions!$B$24/12)</f>
        <v/>
      </c>
      <c r="AW18" s="17">
        <f>IF(46&lt;Assumptions!$B$25,0,AW6*Assumptions!$B$24/12)</f>
        <v/>
      </c>
      <c r="AX18" s="17">
        <f>IF(47&lt;Assumptions!$B$25,0,AX6*Assumptions!$B$24/12)</f>
        <v/>
      </c>
      <c r="AY18" s="17">
        <f>IF(48&lt;Assumptions!$B$25,0,AY6*Assumptions!$B$24/12)</f>
        <v/>
      </c>
      <c r="AZ18" s="17">
        <f>IF(49&lt;Assumptions!$B$25,0,AZ6*Assumptions!$B$24/12)</f>
        <v/>
      </c>
      <c r="BA18" s="17">
        <f>IF(50&lt;Assumptions!$B$25,0,BA6*Assumptions!$B$24/12)</f>
        <v/>
      </c>
      <c r="BB18" s="17">
        <f>IF(51&lt;Assumptions!$B$25,0,BB6*Assumptions!$B$24/12)</f>
        <v/>
      </c>
      <c r="BC18" s="17">
        <f>IF(52&lt;Assumptions!$B$25,0,BC6*Assumptions!$B$24/12)</f>
        <v/>
      </c>
      <c r="BD18" s="17">
        <f>IF(53&lt;Assumptions!$B$25,0,BD6*Assumptions!$B$24/12)</f>
        <v/>
      </c>
      <c r="BE18" s="17">
        <f>IF(54&lt;Assumptions!$B$25,0,BE6*Assumptions!$B$24/12)</f>
        <v/>
      </c>
      <c r="BF18" s="17">
        <f>IF(55&lt;Assumptions!$B$25,0,BF6*Assumptions!$B$24/12)</f>
        <v/>
      </c>
      <c r="BG18" s="17">
        <f>IF(56&lt;Assumptions!$B$25,0,BG6*Assumptions!$B$24/12)</f>
        <v/>
      </c>
      <c r="BH18" s="17">
        <f>IF(57&lt;Assumptions!$B$25,0,BH6*Assumptions!$B$24/12)</f>
        <v/>
      </c>
      <c r="BI18" s="17">
        <f>IF(58&lt;Assumptions!$B$25,0,BI6*Assumptions!$B$24/12)</f>
        <v/>
      </c>
      <c r="BJ18" s="17">
        <f>IF(59&lt;Assumptions!$B$25,0,BJ6*Assumptions!$B$24/12)</f>
        <v/>
      </c>
      <c r="BK18" s="17">
        <f>IF(60&lt;Assumptions!$B$25,0,BK6*Assumptions!$B$24/12)</f>
        <v/>
      </c>
      <c r="BL18" s="17">
        <f>IF(61&lt;Assumptions!$B$25,0,BL6*Assumptions!$B$24/12)</f>
        <v/>
      </c>
      <c r="BM18" s="17">
        <f>IF(62&lt;Assumptions!$B$25,0,BM6*Assumptions!$B$24/12)</f>
        <v/>
      </c>
      <c r="BN18" s="17">
        <f>IF(63&lt;Assumptions!$B$25,0,BN6*Assumptions!$B$24/12)</f>
        <v/>
      </c>
      <c r="BO18" s="17">
        <f>IF(64&lt;Assumptions!$B$25,0,BO6*Assumptions!$B$24/12)</f>
        <v/>
      </c>
      <c r="BP18" s="17">
        <f>IF(65&lt;Assumptions!$B$25,0,BP6*Assumptions!$B$24/12)</f>
        <v/>
      </c>
      <c r="BQ18" s="17">
        <f>IF(66&lt;Assumptions!$B$25,0,BQ6*Assumptions!$B$24/12)</f>
        <v/>
      </c>
      <c r="BR18" s="17">
        <f>IF(67&lt;Assumptions!$B$25,0,BR6*Assumptions!$B$24/12)</f>
        <v/>
      </c>
      <c r="BS18" s="17">
        <f>IF(68&lt;Assumptions!$B$25,0,BS6*Assumptions!$B$24/12)</f>
        <v/>
      </c>
      <c r="BT18" s="17">
        <f>IF(69&lt;Assumptions!$B$25,0,BT6*Assumptions!$B$24/12)</f>
        <v/>
      </c>
      <c r="BU18" s="17">
        <f>IF(70&lt;Assumptions!$B$25,0,BU6*Assumptions!$B$24/12)</f>
        <v/>
      </c>
      <c r="BV18" s="17">
        <f>IF(71&lt;Assumptions!$B$25,0,BV6*Assumptions!$B$24/12)</f>
        <v/>
      </c>
      <c r="BW18" s="17">
        <f>IF(72&lt;Assumptions!$B$25,0,BW6*Assumptions!$B$24/12)</f>
        <v/>
      </c>
    </row>
    <row r="19">
      <c r="A19" t="inlineStr">
        <is>
          <t>Contract insurance (Lloyd's premium)</t>
        </is>
      </c>
      <c r="D19" s="17">
        <f>D5*Assumptions!$B$20</f>
        <v/>
      </c>
      <c r="E19" s="17">
        <f>E5*Assumptions!$B$20</f>
        <v/>
      </c>
      <c r="F19" s="17">
        <f>F5*Assumptions!$B$20</f>
        <v/>
      </c>
      <c r="G19" s="17">
        <f>G5*Assumptions!$B$20</f>
        <v/>
      </c>
      <c r="H19" s="17">
        <f>H5*Assumptions!$B$20</f>
        <v/>
      </c>
      <c r="I19" s="17">
        <f>I5*Assumptions!$B$20</f>
        <v/>
      </c>
      <c r="J19" s="17">
        <f>J5*Assumptions!$B$20</f>
        <v/>
      </c>
      <c r="K19" s="17">
        <f>K5*Assumptions!$B$20</f>
        <v/>
      </c>
      <c r="L19" s="17">
        <f>L5*Assumptions!$B$20</f>
        <v/>
      </c>
      <c r="M19" s="17">
        <f>M5*Assumptions!$B$20</f>
        <v/>
      </c>
      <c r="N19" s="17">
        <f>N5*Assumptions!$B$20</f>
        <v/>
      </c>
      <c r="O19" s="17">
        <f>O5*Assumptions!$B$20</f>
        <v/>
      </c>
      <c r="P19" s="17">
        <f>P5*Assumptions!$B$20</f>
        <v/>
      </c>
      <c r="Q19" s="17">
        <f>Q5*Assumptions!$B$20</f>
        <v/>
      </c>
      <c r="R19" s="17">
        <f>R5*Assumptions!$B$20</f>
        <v/>
      </c>
      <c r="S19" s="17">
        <f>S5*Assumptions!$B$20</f>
        <v/>
      </c>
      <c r="T19" s="17">
        <f>T5*Assumptions!$B$20</f>
        <v/>
      </c>
      <c r="U19" s="17">
        <f>U5*Assumptions!$B$20</f>
        <v/>
      </c>
      <c r="V19" s="17">
        <f>V5*Assumptions!$B$20</f>
        <v/>
      </c>
      <c r="W19" s="17">
        <f>W5*Assumptions!$B$20</f>
        <v/>
      </c>
      <c r="X19" s="17">
        <f>X5*Assumptions!$B$20</f>
        <v/>
      </c>
      <c r="Y19" s="17">
        <f>Y5*Assumptions!$B$20</f>
        <v/>
      </c>
      <c r="Z19" s="17">
        <f>Z5*Assumptions!$B$20</f>
        <v/>
      </c>
      <c r="AA19" s="17">
        <f>AA5*Assumptions!$B$20</f>
        <v/>
      </c>
      <c r="AB19" s="17">
        <f>AB5*Assumptions!$B$20</f>
        <v/>
      </c>
      <c r="AC19" s="17">
        <f>AC5*Assumptions!$B$20</f>
        <v/>
      </c>
      <c r="AD19" s="17">
        <f>AD5*Assumptions!$B$20</f>
        <v/>
      </c>
      <c r="AE19" s="17">
        <f>AE5*Assumptions!$B$20</f>
        <v/>
      </c>
      <c r="AF19" s="17">
        <f>AF5*Assumptions!$B$20</f>
        <v/>
      </c>
      <c r="AG19" s="17">
        <f>AG5*Assumptions!$B$20</f>
        <v/>
      </c>
      <c r="AH19" s="17">
        <f>AH5*Assumptions!$B$20</f>
        <v/>
      </c>
      <c r="AI19" s="17">
        <f>AI5*Assumptions!$B$20</f>
        <v/>
      </c>
      <c r="AJ19" s="17">
        <f>AJ5*Assumptions!$B$20</f>
        <v/>
      </c>
      <c r="AK19" s="17">
        <f>AK5*Assumptions!$B$20</f>
        <v/>
      </c>
      <c r="AL19" s="17">
        <f>AL5*Assumptions!$B$20</f>
        <v/>
      </c>
      <c r="AM19" s="17">
        <f>AM5*Assumptions!$B$20</f>
        <v/>
      </c>
      <c r="AN19" s="17">
        <f>AN5*Assumptions!$B$20</f>
        <v/>
      </c>
      <c r="AO19" s="17">
        <f>AO5*Assumptions!$B$20</f>
        <v/>
      </c>
      <c r="AP19" s="17">
        <f>AP5*Assumptions!$B$20</f>
        <v/>
      </c>
      <c r="AQ19" s="17">
        <f>AQ5*Assumptions!$B$20</f>
        <v/>
      </c>
      <c r="AR19" s="17">
        <f>AR5*Assumptions!$B$20</f>
        <v/>
      </c>
      <c r="AS19" s="17">
        <f>AS5*Assumptions!$B$20</f>
        <v/>
      </c>
      <c r="AT19" s="17">
        <f>AT5*Assumptions!$B$20</f>
        <v/>
      </c>
      <c r="AU19" s="17">
        <f>AU5*Assumptions!$B$20</f>
        <v/>
      </c>
      <c r="AV19" s="17">
        <f>AV5*Assumptions!$B$20</f>
        <v/>
      </c>
      <c r="AW19" s="17">
        <f>AW5*Assumptions!$B$20</f>
        <v/>
      </c>
      <c r="AX19" s="17">
        <f>AX5*Assumptions!$B$20</f>
        <v/>
      </c>
      <c r="AY19" s="17">
        <f>AY5*Assumptions!$B$20</f>
        <v/>
      </c>
      <c r="AZ19" s="17">
        <f>AZ5*Assumptions!$B$20</f>
        <v/>
      </c>
      <c r="BA19" s="17">
        <f>BA5*Assumptions!$B$20</f>
        <v/>
      </c>
      <c r="BB19" s="17">
        <f>BB5*Assumptions!$B$20</f>
        <v/>
      </c>
      <c r="BC19" s="17">
        <f>BC5*Assumptions!$B$20</f>
        <v/>
      </c>
      <c r="BD19" s="17">
        <f>BD5*Assumptions!$B$20</f>
        <v/>
      </c>
      <c r="BE19" s="17">
        <f>BE5*Assumptions!$B$20</f>
        <v/>
      </c>
      <c r="BF19" s="17">
        <f>BF5*Assumptions!$B$20</f>
        <v/>
      </c>
      <c r="BG19" s="17">
        <f>BG5*Assumptions!$B$20</f>
        <v/>
      </c>
      <c r="BH19" s="17">
        <f>BH5*Assumptions!$B$20</f>
        <v/>
      </c>
      <c r="BI19" s="17">
        <f>BI5*Assumptions!$B$20</f>
        <v/>
      </c>
      <c r="BJ19" s="17">
        <f>BJ5*Assumptions!$B$20</f>
        <v/>
      </c>
      <c r="BK19" s="17">
        <f>BK5*Assumptions!$B$20</f>
        <v/>
      </c>
      <c r="BL19" s="17">
        <f>BL5*Assumptions!$B$20</f>
        <v/>
      </c>
      <c r="BM19" s="17">
        <f>BM5*Assumptions!$B$20</f>
        <v/>
      </c>
      <c r="BN19" s="17">
        <f>BN5*Assumptions!$B$20</f>
        <v/>
      </c>
      <c r="BO19" s="17">
        <f>BO5*Assumptions!$B$20</f>
        <v/>
      </c>
      <c r="BP19" s="17">
        <f>BP5*Assumptions!$B$20</f>
        <v/>
      </c>
      <c r="BQ19" s="17">
        <f>BQ5*Assumptions!$B$20</f>
        <v/>
      </c>
      <c r="BR19" s="17">
        <f>BR5*Assumptions!$B$20</f>
        <v/>
      </c>
      <c r="BS19" s="17">
        <f>BS5*Assumptions!$B$20</f>
        <v/>
      </c>
      <c r="BT19" s="17">
        <f>BT5*Assumptions!$B$20</f>
        <v/>
      </c>
      <c r="BU19" s="17">
        <f>BU5*Assumptions!$B$20</f>
        <v/>
      </c>
      <c r="BV19" s="17">
        <f>BV5*Assumptions!$B$20</f>
        <v/>
      </c>
      <c r="BW19" s="17">
        <f>BW5*Assumptions!$B$20</f>
        <v/>
      </c>
    </row>
    <row r="20">
      <c r="A20" t="inlineStr">
        <is>
          <t>Finance fees</t>
        </is>
      </c>
      <c r="D20" s="17">
        <f>D6*D12*Assumptions!$B$26</f>
        <v/>
      </c>
      <c r="E20" s="17">
        <f>E6*E12*Assumptions!$B$26</f>
        <v/>
      </c>
      <c r="F20" s="17">
        <f>F6*F12*Assumptions!$B$26</f>
        <v/>
      </c>
      <c r="G20" s="17">
        <f>G6*G12*Assumptions!$B$26</f>
        <v/>
      </c>
      <c r="H20" s="17">
        <f>H6*H12*Assumptions!$B$26</f>
        <v/>
      </c>
      <c r="I20" s="17">
        <f>I6*I12*Assumptions!$B$26</f>
        <v/>
      </c>
      <c r="J20" s="17">
        <f>J6*J12*Assumptions!$B$26</f>
        <v/>
      </c>
      <c r="K20" s="17">
        <f>K6*K12*Assumptions!$B$26</f>
        <v/>
      </c>
      <c r="L20" s="17">
        <f>L6*L12*Assumptions!$B$26</f>
        <v/>
      </c>
      <c r="M20" s="17">
        <f>M6*M12*Assumptions!$B$26</f>
        <v/>
      </c>
      <c r="N20" s="17">
        <f>N6*N12*Assumptions!$B$26</f>
        <v/>
      </c>
      <c r="O20" s="17">
        <f>O6*O12*Assumptions!$B$26</f>
        <v/>
      </c>
      <c r="P20" s="17">
        <f>P6*P12*Assumptions!$B$26</f>
        <v/>
      </c>
      <c r="Q20" s="17">
        <f>Q6*Q12*Assumptions!$B$26</f>
        <v/>
      </c>
      <c r="R20" s="17">
        <f>R6*R12*Assumptions!$B$26</f>
        <v/>
      </c>
      <c r="S20" s="17">
        <f>S6*S12*Assumptions!$B$26</f>
        <v/>
      </c>
      <c r="T20" s="17">
        <f>T6*T12*Assumptions!$B$26</f>
        <v/>
      </c>
      <c r="U20" s="17">
        <f>U6*U12*Assumptions!$B$26</f>
        <v/>
      </c>
      <c r="V20" s="17">
        <f>V6*V12*Assumptions!$B$26</f>
        <v/>
      </c>
      <c r="W20" s="17">
        <f>W6*W12*Assumptions!$B$26</f>
        <v/>
      </c>
      <c r="X20" s="17">
        <f>X6*X12*Assumptions!$B$26</f>
        <v/>
      </c>
      <c r="Y20" s="17">
        <f>Y6*Y12*Assumptions!$B$26</f>
        <v/>
      </c>
      <c r="Z20" s="17">
        <f>Z6*Z12*Assumptions!$B$26</f>
        <v/>
      </c>
      <c r="AA20" s="17">
        <f>AA6*AA12*Assumptions!$B$26</f>
        <v/>
      </c>
      <c r="AB20" s="17">
        <f>AB6*AB12*Assumptions!$B$26</f>
        <v/>
      </c>
      <c r="AC20" s="17">
        <f>AC6*AC12*Assumptions!$B$26</f>
        <v/>
      </c>
      <c r="AD20" s="17">
        <f>AD6*AD12*Assumptions!$B$26</f>
        <v/>
      </c>
      <c r="AE20" s="17">
        <f>AE6*AE12*Assumptions!$B$26</f>
        <v/>
      </c>
      <c r="AF20" s="17">
        <f>AF6*AF12*Assumptions!$B$26</f>
        <v/>
      </c>
      <c r="AG20" s="17">
        <f>AG6*AG12*Assumptions!$B$26</f>
        <v/>
      </c>
      <c r="AH20" s="17">
        <f>AH6*AH12*Assumptions!$B$26</f>
        <v/>
      </c>
      <c r="AI20" s="17">
        <f>AI6*AI12*Assumptions!$B$26</f>
        <v/>
      </c>
      <c r="AJ20" s="17">
        <f>AJ6*AJ12*Assumptions!$B$26</f>
        <v/>
      </c>
      <c r="AK20" s="17">
        <f>AK6*AK12*Assumptions!$B$26</f>
        <v/>
      </c>
      <c r="AL20" s="17">
        <f>AL6*AL12*Assumptions!$B$26</f>
        <v/>
      </c>
      <c r="AM20" s="17">
        <f>AM6*AM12*Assumptions!$B$26</f>
        <v/>
      </c>
      <c r="AN20" s="17">
        <f>AN6*AN12*Assumptions!$B$26</f>
        <v/>
      </c>
      <c r="AO20" s="17">
        <f>AO6*AO12*Assumptions!$B$26</f>
        <v/>
      </c>
      <c r="AP20" s="17">
        <f>AP6*AP12*Assumptions!$B$26</f>
        <v/>
      </c>
      <c r="AQ20" s="17">
        <f>AQ6*AQ12*Assumptions!$B$26</f>
        <v/>
      </c>
      <c r="AR20" s="17">
        <f>AR6*AR12*Assumptions!$B$26</f>
        <v/>
      </c>
      <c r="AS20" s="17">
        <f>AS6*AS12*Assumptions!$B$26</f>
        <v/>
      </c>
      <c r="AT20" s="17">
        <f>AT6*AT12*Assumptions!$B$26</f>
        <v/>
      </c>
      <c r="AU20" s="17">
        <f>AU6*AU12*Assumptions!$B$26</f>
        <v/>
      </c>
      <c r="AV20" s="17">
        <f>AV6*AV12*Assumptions!$B$26</f>
        <v/>
      </c>
      <c r="AW20" s="17">
        <f>AW6*AW12*Assumptions!$B$26</f>
        <v/>
      </c>
      <c r="AX20" s="17">
        <f>AX6*AX12*Assumptions!$B$26</f>
        <v/>
      </c>
      <c r="AY20" s="17">
        <f>AY6*AY12*Assumptions!$B$26</f>
        <v/>
      </c>
      <c r="AZ20" s="17">
        <f>AZ6*AZ12*Assumptions!$B$26</f>
        <v/>
      </c>
      <c r="BA20" s="17">
        <f>BA6*BA12*Assumptions!$B$26</f>
        <v/>
      </c>
      <c r="BB20" s="17">
        <f>BB6*BB12*Assumptions!$B$26</f>
        <v/>
      </c>
      <c r="BC20" s="17">
        <f>BC6*BC12*Assumptions!$B$26</f>
        <v/>
      </c>
      <c r="BD20" s="17">
        <f>BD6*BD12*Assumptions!$B$26</f>
        <v/>
      </c>
      <c r="BE20" s="17">
        <f>BE6*BE12*Assumptions!$B$26</f>
        <v/>
      </c>
      <c r="BF20" s="17">
        <f>BF6*BF12*Assumptions!$B$26</f>
        <v/>
      </c>
      <c r="BG20" s="17">
        <f>BG6*BG12*Assumptions!$B$26</f>
        <v/>
      </c>
      <c r="BH20" s="17">
        <f>BH6*BH12*Assumptions!$B$26</f>
        <v/>
      </c>
      <c r="BI20" s="17">
        <f>BI6*BI12*Assumptions!$B$26</f>
        <v/>
      </c>
      <c r="BJ20" s="17">
        <f>BJ6*BJ12*Assumptions!$B$26</f>
        <v/>
      </c>
      <c r="BK20" s="17">
        <f>BK6*BK12*Assumptions!$B$26</f>
        <v/>
      </c>
      <c r="BL20" s="17">
        <f>BL6*BL12*Assumptions!$B$26</f>
        <v/>
      </c>
      <c r="BM20" s="17">
        <f>BM6*BM12*Assumptions!$B$26</f>
        <v/>
      </c>
      <c r="BN20" s="17">
        <f>BN6*BN12*Assumptions!$B$26</f>
        <v/>
      </c>
      <c r="BO20" s="17">
        <f>BO6*BO12*Assumptions!$B$26</f>
        <v/>
      </c>
      <c r="BP20" s="17">
        <f>BP6*BP12*Assumptions!$B$26</f>
        <v/>
      </c>
      <c r="BQ20" s="17">
        <f>BQ6*BQ12*Assumptions!$B$26</f>
        <v/>
      </c>
      <c r="BR20" s="17">
        <f>BR6*BR12*Assumptions!$B$26</f>
        <v/>
      </c>
      <c r="BS20" s="17">
        <f>BS6*BS12*Assumptions!$B$26</f>
        <v/>
      </c>
      <c r="BT20" s="17">
        <f>BT6*BT12*Assumptions!$B$26</f>
        <v/>
      </c>
      <c r="BU20" s="17">
        <f>BU6*BU12*Assumptions!$B$26</f>
        <v/>
      </c>
      <c r="BV20" s="17">
        <f>BV6*BV12*Assumptions!$B$26</f>
        <v/>
      </c>
      <c r="BW20" s="17">
        <f>BW6*BW12*Assumptions!$B$26</f>
        <v/>
      </c>
    </row>
    <row r="21">
      <c r="A21" t="inlineStr">
        <is>
          <t>Producer commission</t>
        </is>
      </c>
      <c r="D21" s="17">
        <f>D5*Assumptions!$B$38</f>
        <v/>
      </c>
      <c r="E21" s="17">
        <f>E5*Assumptions!$B$38</f>
        <v/>
      </c>
      <c r="F21" s="17">
        <f>F5*Assumptions!$B$38</f>
        <v/>
      </c>
      <c r="G21" s="17">
        <f>G5*Assumptions!$B$38</f>
        <v/>
      </c>
      <c r="H21" s="17">
        <f>H5*Assumptions!$B$38</f>
        <v/>
      </c>
      <c r="I21" s="17">
        <f>I5*Assumptions!$B$38</f>
        <v/>
      </c>
      <c r="J21" s="17">
        <f>J5*Assumptions!$B$38</f>
        <v/>
      </c>
      <c r="K21" s="17">
        <f>K5*Assumptions!$B$38</f>
        <v/>
      </c>
      <c r="L21" s="17">
        <f>L5*Assumptions!$B$38</f>
        <v/>
      </c>
      <c r="M21" s="17">
        <f>M5*Assumptions!$B$38</f>
        <v/>
      </c>
      <c r="N21" s="17">
        <f>N5*Assumptions!$B$38</f>
        <v/>
      </c>
      <c r="O21" s="17">
        <f>O5*Assumptions!$B$38</f>
        <v/>
      </c>
      <c r="P21" s="17">
        <f>P5*Assumptions!$B$38</f>
        <v/>
      </c>
      <c r="Q21" s="17">
        <f>Q5*Assumptions!$B$38</f>
        <v/>
      </c>
      <c r="R21" s="17">
        <f>R5*Assumptions!$B$38</f>
        <v/>
      </c>
      <c r="S21" s="17">
        <f>S5*Assumptions!$B$38</f>
        <v/>
      </c>
      <c r="T21" s="17">
        <f>T5*Assumptions!$B$38</f>
        <v/>
      </c>
      <c r="U21" s="17">
        <f>U5*Assumptions!$B$38</f>
        <v/>
      </c>
      <c r="V21" s="17">
        <f>V5*Assumptions!$B$38</f>
        <v/>
      </c>
      <c r="W21" s="17">
        <f>W5*Assumptions!$B$38</f>
        <v/>
      </c>
      <c r="X21" s="17">
        <f>X5*Assumptions!$B$38</f>
        <v/>
      </c>
      <c r="Y21" s="17">
        <f>Y5*Assumptions!$B$38</f>
        <v/>
      </c>
      <c r="Z21" s="17">
        <f>Z5*Assumptions!$B$38</f>
        <v/>
      </c>
      <c r="AA21" s="17">
        <f>AA5*Assumptions!$B$38</f>
        <v/>
      </c>
      <c r="AB21" s="17">
        <f>AB5*Assumptions!$B$38</f>
        <v/>
      </c>
      <c r="AC21" s="17">
        <f>AC5*Assumptions!$B$38</f>
        <v/>
      </c>
      <c r="AD21" s="17">
        <f>AD5*Assumptions!$B$38</f>
        <v/>
      </c>
      <c r="AE21" s="17">
        <f>AE5*Assumptions!$B$38</f>
        <v/>
      </c>
      <c r="AF21" s="17">
        <f>AF5*Assumptions!$B$38</f>
        <v/>
      </c>
      <c r="AG21" s="17">
        <f>AG5*Assumptions!$B$38</f>
        <v/>
      </c>
      <c r="AH21" s="17">
        <f>AH5*Assumptions!$B$38</f>
        <v/>
      </c>
      <c r="AI21" s="17">
        <f>AI5*Assumptions!$B$38</f>
        <v/>
      </c>
      <c r="AJ21" s="17">
        <f>AJ5*Assumptions!$B$38</f>
        <v/>
      </c>
      <c r="AK21" s="17">
        <f>AK5*Assumptions!$B$38</f>
        <v/>
      </c>
      <c r="AL21" s="17">
        <f>AL5*Assumptions!$B$38</f>
        <v/>
      </c>
      <c r="AM21" s="17">
        <f>AM5*Assumptions!$B$38</f>
        <v/>
      </c>
      <c r="AN21" s="17">
        <f>AN5*Assumptions!$B$38</f>
        <v/>
      </c>
      <c r="AO21" s="17">
        <f>AO5*Assumptions!$B$38</f>
        <v/>
      </c>
      <c r="AP21" s="17">
        <f>AP5*Assumptions!$B$38</f>
        <v/>
      </c>
      <c r="AQ21" s="17">
        <f>AQ5*Assumptions!$B$38</f>
        <v/>
      </c>
      <c r="AR21" s="17">
        <f>AR5*Assumptions!$B$38</f>
        <v/>
      </c>
      <c r="AS21" s="17">
        <f>AS5*Assumptions!$B$38</f>
        <v/>
      </c>
      <c r="AT21" s="17">
        <f>AT5*Assumptions!$B$38</f>
        <v/>
      </c>
      <c r="AU21" s="17">
        <f>AU5*Assumptions!$B$38</f>
        <v/>
      </c>
      <c r="AV21" s="17">
        <f>AV5*Assumptions!$B$38</f>
        <v/>
      </c>
      <c r="AW21" s="17">
        <f>AW5*Assumptions!$B$38</f>
        <v/>
      </c>
      <c r="AX21" s="17">
        <f>AX5*Assumptions!$B$38</f>
        <v/>
      </c>
      <c r="AY21" s="17">
        <f>AY5*Assumptions!$B$38</f>
        <v/>
      </c>
      <c r="AZ21" s="17">
        <f>AZ5*Assumptions!$B$38</f>
        <v/>
      </c>
      <c r="BA21" s="17">
        <f>BA5*Assumptions!$B$38</f>
        <v/>
      </c>
      <c r="BB21" s="17">
        <f>BB5*Assumptions!$B$38</f>
        <v/>
      </c>
      <c r="BC21" s="17">
        <f>BC5*Assumptions!$B$38</f>
        <v/>
      </c>
      <c r="BD21" s="17">
        <f>BD5*Assumptions!$B$38</f>
        <v/>
      </c>
      <c r="BE21" s="17">
        <f>BE5*Assumptions!$B$38</f>
        <v/>
      </c>
      <c r="BF21" s="17">
        <f>BF5*Assumptions!$B$38</f>
        <v/>
      </c>
      <c r="BG21" s="17">
        <f>BG5*Assumptions!$B$38</f>
        <v/>
      </c>
      <c r="BH21" s="17">
        <f>BH5*Assumptions!$B$38</f>
        <v/>
      </c>
      <c r="BI21" s="17">
        <f>BI5*Assumptions!$B$38</f>
        <v/>
      </c>
      <c r="BJ21" s="17">
        <f>BJ5*Assumptions!$B$38</f>
        <v/>
      </c>
      <c r="BK21" s="17">
        <f>BK5*Assumptions!$B$38</f>
        <v/>
      </c>
      <c r="BL21" s="17">
        <f>BL5*Assumptions!$B$38</f>
        <v/>
      </c>
      <c r="BM21" s="17">
        <f>BM5*Assumptions!$B$38</f>
        <v/>
      </c>
      <c r="BN21" s="17">
        <f>BN5*Assumptions!$B$38</f>
        <v/>
      </c>
      <c r="BO21" s="17">
        <f>BO5*Assumptions!$B$38</f>
        <v/>
      </c>
      <c r="BP21" s="17">
        <f>BP5*Assumptions!$B$38</f>
        <v/>
      </c>
      <c r="BQ21" s="17">
        <f>BQ5*Assumptions!$B$38</f>
        <v/>
      </c>
      <c r="BR21" s="17">
        <f>BR5*Assumptions!$B$38</f>
        <v/>
      </c>
      <c r="BS21" s="17">
        <f>BS5*Assumptions!$B$38</f>
        <v/>
      </c>
      <c r="BT21" s="17">
        <f>BT5*Assumptions!$B$38</f>
        <v/>
      </c>
      <c r="BU21" s="17">
        <f>BU5*Assumptions!$B$38</f>
        <v/>
      </c>
      <c r="BV21" s="17">
        <f>BV5*Assumptions!$B$38</f>
        <v/>
      </c>
      <c r="BW21" s="17">
        <f>BW5*Assumptions!$B$38</f>
        <v/>
      </c>
    </row>
    <row r="22">
      <c r="A22" t="inlineStr">
        <is>
          <t>Fulfillment — postage + printing</t>
        </is>
      </c>
      <c r="D22" s="17">
        <f>D5*(Assumptions!$B$45+Assumptions!$B$46)</f>
        <v/>
      </c>
      <c r="E22" s="17">
        <f>E5*(Assumptions!$B$45+Assumptions!$B$46)</f>
        <v/>
      </c>
      <c r="F22" s="17">
        <f>F5*(Assumptions!$B$45+Assumptions!$B$46)</f>
        <v/>
      </c>
      <c r="G22" s="17">
        <f>G5*(Assumptions!$B$45+Assumptions!$B$46)</f>
        <v/>
      </c>
      <c r="H22" s="17">
        <f>H5*(Assumptions!$B$45+Assumptions!$B$46)</f>
        <v/>
      </c>
      <c r="I22" s="17">
        <f>I5*(Assumptions!$B$45+Assumptions!$B$46)</f>
        <v/>
      </c>
      <c r="J22" s="17">
        <f>J5*(Assumptions!$B$45+Assumptions!$B$46)</f>
        <v/>
      </c>
      <c r="K22" s="17">
        <f>K5*(Assumptions!$B$45+Assumptions!$B$46)</f>
        <v/>
      </c>
      <c r="L22" s="17">
        <f>L5*(Assumptions!$B$45+Assumptions!$B$46)</f>
        <v/>
      </c>
      <c r="M22" s="17">
        <f>M5*(Assumptions!$B$45+Assumptions!$B$46)</f>
        <v/>
      </c>
      <c r="N22" s="17">
        <f>N5*(Assumptions!$B$45+Assumptions!$B$46)</f>
        <v/>
      </c>
      <c r="O22" s="17">
        <f>O5*(Assumptions!$B$45+Assumptions!$B$46)</f>
        <v/>
      </c>
      <c r="P22" s="17">
        <f>P5*(Assumptions!$B$45+Assumptions!$B$46)</f>
        <v/>
      </c>
      <c r="Q22" s="17">
        <f>Q5*(Assumptions!$B$45+Assumptions!$B$46)</f>
        <v/>
      </c>
      <c r="R22" s="17">
        <f>R5*(Assumptions!$B$45+Assumptions!$B$46)</f>
        <v/>
      </c>
      <c r="S22" s="17">
        <f>S5*(Assumptions!$B$45+Assumptions!$B$46)</f>
        <v/>
      </c>
      <c r="T22" s="17">
        <f>T5*(Assumptions!$B$45+Assumptions!$B$46)</f>
        <v/>
      </c>
      <c r="U22" s="17">
        <f>U5*(Assumptions!$B$45+Assumptions!$B$46)</f>
        <v/>
      </c>
      <c r="V22" s="17">
        <f>V5*(Assumptions!$B$45+Assumptions!$B$46)</f>
        <v/>
      </c>
      <c r="W22" s="17">
        <f>W5*(Assumptions!$B$45+Assumptions!$B$46)</f>
        <v/>
      </c>
      <c r="X22" s="17">
        <f>X5*(Assumptions!$B$45+Assumptions!$B$46)</f>
        <v/>
      </c>
      <c r="Y22" s="17">
        <f>Y5*(Assumptions!$B$45+Assumptions!$B$46)</f>
        <v/>
      </c>
      <c r="Z22" s="17">
        <f>Z5*(Assumptions!$B$45+Assumptions!$B$46)</f>
        <v/>
      </c>
      <c r="AA22" s="17">
        <f>AA5*(Assumptions!$B$45+Assumptions!$B$46)</f>
        <v/>
      </c>
      <c r="AB22" s="17">
        <f>AB5*(Assumptions!$B$45+Assumptions!$B$46)</f>
        <v/>
      </c>
      <c r="AC22" s="17">
        <f>AC5*(Assumptions!$B$45+Assumptions!$B$46)</f>
        <v/>
      </c>
      <c r="AD22" s="17">
        <f>AD5*(Assumptions!$B$45+Assumptions!$B$46)</f>
        <v/>
      </c>
      <c r="AE22" s="17">
        <f>AE5*(Assumptions!$B$45+Assumptions!$B$46)</f>
        <v/>
      </c>
      <c r="AF22" s="17">
        <f>AF5*(Assumptions!$B$45+Assumptions!$B$46)</f>
        <v/>
      </c>
      <c r="AG22" s="17">
        <f>AG5*(Assumptions!$B$45+Assumptions!$B$46)</f>
        <v/>
      </c>
      <c r="AH22" s="17">
        <f>AH5*(Assumptions!$B$45+Assumptions!$B$46)</f>
        <v/>
      </c>
      <c r="AI22" s="17">
        <f>AI5*(Assumptions!$B$45+Assumptions!$B$46)</f>
        <v/>
      </c>
      <c r="AJ22" s="17">
        <f>AJ5*(Assumptions!$B$45+Assumptions!$B$46)</f>
        <v/>
      </c>
      <c r="AK22" s="17">
        <f>AK5*(Assumptions!$B$45+Assumptions!$B$46)</f>
        <v/>
      </c>
      <c r="AL22" s="17">
        <f>AL5*(Assumptions!$B$45+Assumptions!$B$46)</f>
        <v/>
      </c>
      <c r="AM22" s="17">
        <f>AM5*(Assumptions!$B$45+Assumptions!$B$46)</f>
        <v/>
      </c>
      <c r="AN22" s="17">
        <f>AN5*(Assumptions!$B$45+Assumptions!$B$46)</f>
        <v/>
      </c>
      <c r="AO22" s="17">
        <f>AO5*(Assumptions!$B$45+Assumptions!$B$46)</f>
        <v/>
      </c>
      <c r="AP22" s="17">
        <f>AP5*(Assumptions!$B$45+Assumptions!$B$46)</f>
        <v/>
      </c>
      <c r="AQ22" s="17">
        <f>AQ5*(Assumptions!$B$45+Assumptions!$B$46)</f>
        <v/>
      </c>
      <c r="AR22" s="17">
        <f>AR5*(Assumptions!$B$45+Assumptions!$B$46)</f>
        <v/>
      </c>
      <c r="AS22" s="17">
        <f>AS5*(Assumptions!$B$45+Assumptions!$B$46)</f>
        <v/>
      </c>
      <c r="AT22" s="17">
        <f>AT5*(Assumptions!$B$45+Assumptions!$B$46)</f>
        <v/>
      </c>
      <c r="AU22" s="17">
        <f>AU5*(Assumptions!$B$45+Assumptions!$B$46)</f>
        <v/>
      </c>
      <c r="AV22" s="17">
        <f>AV5*(Assumptions!$B$45+Assumptions!$B$46)</f>
        <v/>
      </c>
      <c r="AW22" s="17">
        <f>AW5*(Assumptions!$B$45+Assumptions!$B$46)</f>
        <v/>
      </c>
      <c r="AX22" s="17">
        <f>AX5*(Assumptions!$B$45+Assumptions!$B$46)</f>
        <v/>
      </c>
      <c r="AY22" s="17">
        <f>AY5*(Assumptions!$B$45+Assumptions!$B$46)</f>
        <v/>
      </c>
      <c r="AZ22" s="17">
        <f>AZ5*(Assumptions!$B$45+Assumptions!$B$46)</f>
        <v/>
      </c>
      <c r="BA22" s="17">
        <f>BA5*(Assumptions!$B$45+Assumptions!$B$46)</f>
        <v/>
      </c>
      <c r="BB22" s="17">
        <f>BB5*(Assumptions!$B$45+Assumptions!$B$46)</f>
        <v/>
      </c>
      <c r="BC22" s="17">
        <f>BC5*(Assumptions!$B$45+Assumptions!$B$46)</f>
        <v/>
      </c>
      <c r="BD22" s="17">
        <f>BD5*(Assumptions!$B$45+Assumptions!$B$46)</f>
        <v/>
      </c>
      <c r="BE22" s="17">
        <f>BE5*(Assumptions!$B$45+Assumptions!$B$46)</f>
        <v/>
      </c>
      <c r="BF22" s="17">
        <f>BF5*(Assumptions!$B$45+Assumptions!$B$46)</f>
        <v/>
      </c>
      <c r="BG22" s="17">
        <f>BG5*(Assumptions!$B$45+Assumptions!$B$46)</f>
        <v/>
      </c>
      <c r="BH22" s="17">
        <f>BH5*(Assumptions!$B$45+Assumptions!$B$46)</f>
        <v/>
      </c>
      <c r="BI22" s="17">
        <f>BI5*(Assumptions!$B$45+Assumptions!$B$46)</f>
        <v/>
      </c>
      <c r="BJ22" s="17">
        <f>BJ5*(Assumptions!$B$45+Assumptions!$B$46)</f>
        <v/>
      </c>
      <c r="BK22" s="17">
        <f>BK5*(Assumptions!$B$45+Assumptions!$B$46)</f>
        <v/>
      </c>
      <c r="BL22" s="17">
        <f>BL5*(Assumptions!$B$45+Assumptions!$B$46)</f>
        <v/>
      </c>
      <c r="BM22" s="17">
        <f>BM5*(Assumptions!$B$45+Assumptions!$B$46)</f>
        <v/>
      </c>
      <c r="BN22" s="17">
        <f>BN5*(Assumptions!$B$45+Assumptions!$B$46)</f>
        <v/>
      </c>
      <c r="BO22" s="17">
        <f>BO5*(Assumptions!$B$45+Assumptions!$B$46)</f>
        <v/>
      </c>
      <c r="BP22" s="17">
        <f>BP5*(Assumptions!$B$45+Assumptions!$B$46)</f>
        <v/>
      </c>
      <c r="BQ22" s="17">
        <f>BQ5*(Assumptions!$B$45+Assumptions!$B$46)</f>
        <v/>
      </c>
      <c r="BR22" s="17">
        <f>BR5*(Assumptions!$B$45+Assumptions!$B$46)</f>
        <v/>
      </c>
      <c r="BS22" s="17">
        <f>BS5*(Assumptions!$B$45+Assumptions!$B$46)</f>
        <v/>
      </c>
      <c r="BT22" s="17">
        <f>BT5*(Assumptions!$B$45+Assumptions!$B$46)</f>
        <v/>
      </c>
      <c r="BU22" s="17">
        <f>BU5*(Assumptions!$B$45+Assumptions!$B$46)</f>
        <v/>
      </c>
      <c r="BV22" s="17">
        <f>BV5*(Assumptions!$B$45+Assumptions!$B$46)</f>
        <v/>
      </c>
      <c r="BW22" s="17">
        <f>BW5*(Assumptions!$B$45+Assumptions!$B$46)</f>
        <v/>
      </c>
    </row>
    <row r="23">
      <c r="A23" t="inlineStr">
        <is>
          <t>Merchant fees + chargebacks</t>
        </is>
      </c>
      <c r="D23" s="17">
        <f>D13*Assumptions!$B$27</f>
        <v/>
      </c>
      <c r="E23" s="17">
        <f>E13*Assumptions!$B$27</f>
        <v/>
      </c>
      <c r="F23" s="17">
        <f>F13*Assumptions!$B$27</f>
        <v/>
      </c>
      <c r="G23" s="17">
        <f>G13*Assumptions!$B$27</f>
        <v/>
      </c>
      <c r="H23" s="17">
        <f>H13*Assumptions!$B$27</f>
        <v/>
      </c>
      <c r="I23" s="17">
        <f>I13*Assumptions!$B$27</f>
        <v/>
      </c>
      <c r="J23" s="17">
        <f>J13*Assumptions!$B$27</f>
        <v/>
      </c>
      <c r="K23" s="17">
        <f>K13*Assumptions!$B$27</f>
        <v/>
      </c>
      <c r="L23" s="17">
        <f>L13*Assumptions!$B$27</f>
        <v/>
      </c>
      <c r="M23" s="17">
        <f>M13*Assumptions!$B$27</f>
        <v/>
      </c>
      <c r="N23" s="17">
        <f>N13*Assumptions!$B$27</f>
        <v/>
      </c>
      <c r="O23" s="17">
        <f>O13*Assumptions!$B$27</f>
        <v/>
      </c>
      <c r="P23" s="17">
        <f>P13*Assumptions!$B$27</f>
        <v/>
      </c>
      <c r="Q23" s="17">
        <f>Q13*Assumptions!$B$27</f>
        <v/>
      </c>
      <c r="R23" s="17">
        <f>R13*Assumptions!$B$27</f>
        <v/>
      </c>
      <c r="S23" s="17">
        <f>S13*Assumptions!$B$27</f>
        <v/>
      </c>
      <c r="T23" s="17">
        <f>T13*Assumptions!$B$27</f>
        <v/>
      </c>
      <c r="U23" s="17">
        <f>U13*Assumptions!$B$27</f>
        <v/>
      </c>
      <c r="V23" s="17">
        <f>V13*Assumptions!$B$27</f>
        <v/>
      </c>
      <c r="W23" s="17">
        <f>W13*Assumptions!$B$27</f>
        <v/>
      </c>
      <c r="X23" s="17">
        <f>X13*Assumptions!$B$27</f>
        <v/>
      </c>
      <c r="Y23" s="17">
        <f>Y13*Assumptions!$B$27</f>
        <v/>
      </c>
      <c r="Z23" s="17">
        <f>Z13*Assumptions!$B$27</f>
        <v/>
      </c>
      <c r="AA23" s="17">
        <f>AA13*Assumptions!$B$27</f>
        <v/>
      </c>
      <c r="AB23" s="17">
        <f>AB13*Assumptions!$B$27</f>
        <v/>
      </c>
      <c r="AC23" s="17">
        <f>AC13*Assumptions!$B$27</f>
        <v/>
      </c>
      <c r="AD23" s="17">
        <f>AD13*Assumptions!$B$27</f>
        <v/>
      </c>
      <c r="AE23" s="17">
        <f>AE13*Assumptions!$B$27</f>
        <v/>
      </c>
      <c r="AF23" s="17">
        <f>AF13*Assumptions!$B$27</f>
        <v/>
      </c>
      <c r="AG23" s="17">
        <f>AG13*Assumptions!$B$27</f>
        <v/>
      </c>
      <c r="AH23" s="17">
        <f>AH13*Assumptions!$B$27</f>
        <v/>
      </c>
      <c r="AI23" s="17">
        <f>AI13*Assumptions!$B$27</f>
        <v/>
      </c>
      <c r="AJ23" s="17">
        <f>AJ13*Assumptions!$B$27</f>
        <v/>
      </c>
      <c r="AK23" s="17">
        <f>AK13*Assumptions!$B$27</f>
        <v/>
      </c>
      <c r="AL23" s="17">
        <f>AL13*Assumptions!$B$27</f>
        <v/>
      </c>
      <c r="AM23" s="17">
        <f>AM13*Assumptions!$B$27</f>
        <v/>
      </c>
      <c r="AN23" s="17">
        <f>AN13*Assumptions!$B$27</f>
        <v/>
      </c>
      <c r="AO23" s="17">
        <f>AO13*Assumptions!$B$27</f>
        <v/>
      </c>
      <c r="AP23" s="17">
        <f>AP13*Assumptions!$B$27</f>
        <v/>
      </c>
      <c r="AQ23" s="17">
        <f>AQ13*Assumptions!$B$27</f>
        <v/>
      </c>
      <c r="AR23" s="17">
        <f>AR13*Assumptions!$B$27</f>
        <v/>
      </c>
      <c r="AS23" s="17">
        <f>AS13*Assumptions!$B$27</f>
        <v/>
      </c>
      <c r="AT23" s="17">
        <f>AT13*Assumptions!$B$27</f>
        <v/>
      </c>
      <c r="AU23" s="17">
        <f>AU13*Assumptions!$B$27</f>
        <v/>
      </c>
      <c r="AV23" s="17">
        <f>AV13*Assumptions!$B$27</f>
        <v/>
      </c>
      <c r="AW23" s="17">
        <f>AW13*Assumptions!$B$27</f>
        <v/>
      </c>
      <c r="AX23" s="17">
        <f>AX13*Assumptions!$B$27</f>
        <v/>
      </c>
      <c r="AY23" s="17">
        <f>AY13*Assumptions!$B$27</f>
        <v/>
      </c>
      <c r="AZ23" s="17">
        <f>AZ13*Assumptions!$B$27</f>
        <v/>
      </c>
      <c r="BA23" s="17">
        <f>BA13*Assumptions!$B$27</f>
        <v/>
      </c>
      <c r="BB23" s="17">
        <f>BB13*Assumptions!$B$27</f>
        <v/>
      </c>
      <c r="BC23" s="17">
        <f>BC13*Assumptions!$B$27</f>
        <v/>
      </c>
      <c r="BD23" s="17">
        <f>BD13*Assumptions!$B$27</f>
        <v/>
      </c>
      <c r="BE23" s="17">
        <f>BE13*Assumptions!$B$27</f>
        <v/>
      </c>
      <c r="BF23" s="17">
        <f>BF13*Assumptions!$B$27</f>
        <v/>
      </c>
      <c r="BG23" s="17">
        <f>BG13*Assumptions!$B$27</f>
        <v/>
      </c>
      <c r="BH23" s="17">
        <f>BH13*Assumptions!$B$27</f>
        <v/>
      </c>
      <c r="BI23" s="17">
        <f>BI13*Assumptions!$B$27</f>
        <v/>
      </c>
      <c r="BJ23" s="17">
        <f>BJ13*Assumptions!$B$27</f>
        <v/>
      </c>
      <c r="BK23" s="17">
        <f>BK13*Assumptions!$B$27</f>
        <v/>
      </c>
      <c r="BL23" s="17">
        <f>BL13*Assumptions!$B$27</f>
        <v/>
      </c>
      <c r="BM23" s="17">
        <f>BM13*Assumptions!$B$27</f>
        <v/>
      </c>
      <c r="BN23" s="17">
        <f>BN13*Assumptions!$B$27</f>
        <v/>
      </c>
      <c r="BO23" s="17">
        <f>BO13*Assumptions!$B$27</f>
        <v/>
      </c>
      <c r="BP23" s="17">
        <f>BP13*Assumptions!$B$27</f>
        <v/>
      </c>
      <c r="BQ23" s="17">
        <f>BQ13*Assumptions!$B$27</f>
        <v/>
      </c>
      <c r="BR23" s="17">
        <f>BR13*Assumptions!$B$27</f>
        <v/>
      </c>
      <c r="BS23" s="17">
        <f>BS13*Assumptions!$B$27</f>
        <v/>
      </c>
      <c r="BT23" s="17">
        <f>BT13*Assumptions!$B$27</f>
        <v/>
      </c>
      <c r="BU23" s="17">
        <f>BU13*Assumptions!$B$27</f>
        <v/>
      </c>
      <c r="BV23" s="17">
        <f>BV13*Assumptions!$B$27</f>
        <v/>
      </c>
      <c r="BW23" s="17">
        <f>BW13*Assumptions!$B$27</f>
        <v/>
      </c>
    </row>
    <row r="24">
      <c r="A24" s="1" t="inlineStr">
        <is>
          <t>Total COS</t>
        </is>
      </c>
      <c r="D24" s="28">
        <f>SUM(D18:D23)</f>
        <v/>
      </c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  <c r="J24" s="28">
        <f>SUM(J18:J23)</f>
        <v/>
      </c>
      <c r="K24" s="28">
        <f>SUM(K18:K23)</f>
        <v/>
      </c>
      <c r="L24" s="28">
        <f>SUM(L18:L23)</f>
        <v/>
      </c>
      <c r="M24" s="28">
        <f>SUM(M18:M23)</f>
        <v/>
      </c>
      <c r="N24" s="28">
        <f>SUM(N18:N23)</f>
        <v/>
      </c>
      <c r="O24" s="28">
        <f>SUM(O18:O23)</f>
        <v/>
      </c>
      <c r="P24" s="28">
        <f>SUM(P18:P23)</f>
        <v/>
      </c>
      <c r="Q24" s="28">
        <f>SUM(Q18:Q23)</f>
        <v/>
      </c>
      <c r="R24" s="28">
        <f>SUM(R18:R23)</f>
        <v/>
      </c>
      <c r="S24" s="28">
        <f>SUM(S18:S23)</f>
        <v/>
      </c>
      <c r="T24" s="28">
        <f>SUM(T18:T23)</f>
        <v/>
      </c>
      <c r="U24" s="28">
        <f>SUM(U18:U23)</f>
        <v/>
      </c>
      <c r="V24" s="28">
        <f>SUM(V18:V23)</f>
        <v/>
      </c>
      <c r="W24" s="28">
        <f>SUM(W18:W23)</f>
        <v/>
      </c>
      <c r="X24" s="28">
        <f>SUM(X18:X23)</f>
        <v/>
      </c>
      <c r="Y24" s="28">
        <f>SUM(Y18:Y23)</f>
        <v/>
      </c>
      <c r="Z24" s="28">
        <f>SUM(Z18:Z23)</f>
        <v/>
      </c>
      <c r="AA24" s="28">
        <f>SUM(AA18:AA23)</f>
        <v/>
      </c>
      <c r="AB24" s="28">
        <f>SUM(AB18:AB23)</f>
        <v/>
      </c>
      <c r="AC24" s="28">
        <f>SUM(AC18:AC23)</f>
        <v/>
      </c>
      <c r="AD24" s="28">
        <f>SUM(AD18:AD23)</f>
        <v/>
      </c>
      <c r="AE24" s="28">
        <f>SUM(AE18:AE23)</f>
        <v/>
      </c>
      <c r="AF24" s="28">
        <f>SUM(AF18:AF23)</f>
        <v/>
      </c>
      <c r="AG24" s="28">
        <f>SUM(AG18:AG23)</f>
        <v/>
      </c>
      <c r="AH24" s="28">
        <f>SUM(AH18:AH23)</f>
        <v/>
      </c>
      <c r="AI24" s="28">
        <f>SUM(AI18:AI23)</f>
        <v/>
      </c>
      <c r="AJ24" s="28">
        <f>SUM(AJ18:AJ23)</f>
        <v/>
      </c>
      <c r="AK24" s="28">
        <f>SUM(AK18:AK23)</f>
        <v/>
      </c>
      <c r="AL24" s="28">
        <f>SUM(AL18:AL23)</f>
        <v/>
      </c>
      <c r="AM24" s="28">
        <f>SUM(AM18:AM23)</f>
        <v/>
      </c>
      <c r="AN24" s="28">
        <f>SUM(AN18:AN23)</f>
        <v/>
      </c>
      <c r="AO24" s="28">
        <f>SUM(AO18:AO23)</f>
        <v/>
      </c>
      <c r="AP24" s="28">
        <f>SUM(AP18:AP23)</f>
        <v/>
      </c>
      <c r="AQ24" s="28">
        <f>SUM(AQ18:AQ23)</f>
        <v/>
      </c>
      <c r="AR24" s="28">
        <f>SUM(AR18:AR23)</f>
        <v/>
      </c>
      <c r="AS24" s="28">
        <f>SUM(AS18:AS23)</f>
        <v/>
      </c>
      <c r="AT24" s="28">
        <f>SUM(AT18:AT23)</f>
        <v/>
      </c>
      <c r="AU24" s="28">
        <f>SUM(AU18:AU23)</f>
        <v/>
      </c>
      <c r="AV24" s="28">
        <f>SUM(AV18:AV23)</f>
        <v/>
      </c>
      <c r="AW24" s="28">
        <f>SUM(AW18:AW23)</f>
        <v/>
      </c>
      <c r="AX24" s="28">
        <f>SUM(AX18:AX23)</f>
        <v/>
      </c>
      <c r="AY24" s="28">
        <f>SUM(AY18:AY23)</f>
        <v/>
      </c>
      <c r="AZ24" s="28">
        <f>SUM(AZ18:AZ23)</f>
        <v/>
      </c>
      <c r="BA24" s="28">
        <f>SUM(BA18:BA23)</f>
        <v/>
      </c>
      <c r="BB24" s="28">
        <f>SUM(BB18:BB23)</f>
        <v/>
      </c>
      <c r="BC24" s="28">
        <f>SUM(BC18:BC23)</f>
        <v/>
      </c>
      <c r="BD24" s="28">
        <f>SUM(BD18:BD23)</f>
        <v/>
      </c>
      <c r="BE24" s="28">
        <f>SUM(BE18:BE23)</f>
        <v/>
      </c>
      <c r="BF24" s="28">
        <f>SUM(BF18:BF23)</f>
        <v/>
      </c>
      <c r="BG24" s="28">
        <f>SUM(BG18:BG23)</f>
        <v/>
      </c>
      <c r="BH24" s="28">
        <f>SUM(BH18:BH23)</f>
        <v/>
      </c>
      <c r="BI24" s="28">
        <f>SUM(BI18:BI23)</f>
        <v/>
      </c>
      <c r="BJ24" s="28">
        <f>SUM(BJ18:BJ23)</f>
        <v/>
      </c>
      <c r="BK24" s="28">
        <f>SUM(BK18:BK23)</f>
        <v/>
      </c>
      <c r="BL24" s="28">
        <f>SUM(BL18:BL23)</f>
        <v/>
      </c>
      <c r="BM24" s="28">
        <f>SUM(BM18:BM23)</f>
        <v/>
      </c>
      <c r="BN24" s="28">
        <f>SUM(BN18:BN23)</f>
        <v/>
      </c>
      <c r="BO24" s="28">
        <f>SUM(BO18:BO23)</f>
        <v/>
      </c>
      <c r="BP24" s="28">
        <f>SUM(BP18:BP23)</f>
        <v/>
      </c>
      <c r="BQ24" s="28">
        <f>SUM(BQ18:BQ23)</f>
        <v/>
      </c>
      <c r="BR24" s="28">
        <f>SUM(BR18:BR23)</f>
        <v/>
      </c>
      <c r="BS24" s="28">
        <f>SUM(BS18:BS23)</f>
        <v/>
      </c>
      <c r="BT24" s="28">
        <f>SUM(BT18:BT23)</f>
        <v/>
      </c>
      <c r="BU24" s="28">
        <f>SUM(BU18:BU23)</f>
        <v/>
      </c>
      <c r="BV24" s="28">
        <f>SUM(BV18:BV23)</f>
        <v/>
      </c>
      <c r="BW24" s="28">
        <f>SUM(BW18:BW23)</f>
        <v/>
      </c>
    </row>
    <row r="26">
      <c r="A26" s="1" t="inlineStr">
        <is>
          <t>Gross profit</t>
        </is>
      </c>
      <c r="D26" s="101">
        <f>D15-D24</f>
        <v/>
      </c>
      <c r="E26" s="101">
        <f>E15-E24</f>
        <v/>
      </c>
      <c r="F26" s="101">
        <f>F15-F24</f>
        <v/>
      </c>
      <c r="G26" s="101">
        <f>G15-G24</f>
        <v/>
      </c>
      <c r="H26" s="101">
        <f>H15-H24</f>
        <v/>
      </c>
      <c r="I26" s="101">
        <f>I15-I24</f>
        <v/>
      </c>
      <c r="J26" s="101">
        <f>J15-J24</f>
        <v/>
      </c>
      <c r="K26" s="101">
        <f>K15-K24</f>
        <v/>
      </c>
      <c r="L26" s="101">
        <f>L15-L24</f>
        <v/>
      </c>
      <c r="M26" s="101">
        <f>M15-M24</f>
        <v/>
      </c>
      <c r="N26" s="101">
        <f>N15-N24</f>
        <v/>
      </c>
      <c r="O26" s="101">
        <f>O15-O24</f>
        <v/>
      </c>
      <c r="P26" s="101">
        <f>P15-P24</f>
        <v/>
      </c>
      <c r="Q26" s="101">
        <f>Q15-Q24</f>
        <v/>
      </c>
      <c r="R26" s="101">
        <f>R15-R24</f>
        <v/>
      </c>
      <c r="S26" s="101">
        <f>S15-S24</f>
        <v/>
      </c>
      <c r="T26" s="101">
        <f>T15-T24</f>
        <v/>
      </c>
      <c r="U26" s="101">
        <f>U15-U24</f>
        <v/>
      </c>
      <c r="V26" s="101">
        <f>V15-V24</f>
        <v/>
      </c>
      <c r="W26" s="101">
        <f>W15-W24</f>
        <v/>
      </c>
      <c r="X26" s="101">
        <f>X15-X24</f>
        <v/>
      </c>
      <c r="Y26" s="101">
        <f>Y15-Y24</f>
        <v/>
      </c>
      <c r="Z26" s="101">
        <f>Z15-Z24</f>
        <v/>
      </c>
      <c r="AA26" s="101">
        <f>AA15-AA24</f>
        <v/>
      </c>
      <c r="AB26" s="101">
        <f>AB15-AB24</f>
        <v/>
      </c>
      <c r="AC26" s="101">
        <f>AC15-AC24</f>
        <v/>
      </c>
      <c r="AD26" s="101">
        <f>AD15-AD24</f>
        <v/>
      </c>
      <c r="AE26" s="101">
        <f>AE15-AE24</f>
        <v/>
      </c>
      <c r="AF26" s="101">
        <f>AF15-AF24</f>
        <v/>
      </c>
      <c r="AG26" s="101">
        <f>AG15-AG24</f>
        <v/>
      </c>
      <c r="AH26" s="101">
        <f>AH15-AH24</f>
        <v/>
      </c>
      <c r="AI26" s="101">
        <f>AI15-AI24</f>
        <v/>
      </c>
      <c r="AJ26" s="101">
        <f>AJ15-AJ24</f>
        <v/>
      </c>
      <c r="AK26" s="101">
        <f>AK15-AK24</f>
        <v/>
      </c>
      <c r="AL26" s="101">
        <f>AL15-AL24</f>
        <v/>
      </c>
      <c r="AM26" s="101">
        <f>AM15-AM24</f>
        <v/>
      </c>
      <c r="AN26" s="101">
        <f>AN15-AN24</f>
        <v/>
      </c>
      <c r="AO26" s="101">
        <f>AO15-AO24</f>
        <v/>
      </c>
      <c r="AP26" s="101">
        <f>AP15-AP24</f>
        <v/>
      </c>
      <c r="AQ26" s="101">
        <f>AQ15-AQ24</f>
        <v/>
      </c>
      <c r="AR26" s="101">
        <f>AR15-AR24</f>
        <v/>
      </c>
      <c r="AS26" s="101">
        <f>AS15-AS24</f>
        <v/>
      </c>
      <c r="AT26" s="101">
        <f>AT15-AT24</f>
        <v/>
      </c>
      <c r="AU26" s="101">
        <f>AU15-AU24</f>
        <v/>
      </c>
      <c r="AV26" s="101">
        <f>AV15-AV24</f>
        <v/>
      </c>
      <c r="AW26" s="101">
        <f>AW15-AW24</f>
        <v/>
      </c>
      <c r="AX26" s="101">
        <f>AX15-AX24</f>
        <v/>
      </c>
      <c r="AY26" s="101">
        <f>AY15-AY24</f>
        <v/>
      </c>
      <c r="AZ26" s="101">
        <f>AZ15-AZ24</f>
        <v/>
      </c>
      <c r="BA26" s="101">
        <f>BA15-BA24</f>
        <v/>
      </c>
      <c r="BB26" s="101">
        <f>BB15-BB24</f>
        <v/>
      </c>
      <c r="BC26" s="101">
        <f>BC15-BC24</f>
        <v/>
      </c>
      <c r="BD26" s="101">
        <f>BD15-BD24</f>
        <v/>
      </c>
      <c r="BE26" s="101">
        <f>BE15-BE24</f>
        <v/>
      </c>
      <c r="BF26" s="101">
        <f>BF15-BF24</f>
        <v/>
      </c>
      <c r="BG26" s="101">
        <f>BG15-BG24</f>
        <v/>
      </c>
      <c r="BH26" s="101">
        <f>BH15-BH24</f>
        <v/>
      </c>
      <c r="BI26" s="101">
        <f>BI15-BI24</f>
        <v/>
      </c>
      <c r="BJ26" s="101">
        <f>BJ15-BJ24</f>
        <v/>
      </c>
      <c r="BK26" s="101">
        <f>BK15-BK24</f>
        <v/>
      </c>
      <c r="BL26" s="101">
        <f>BL15-BL24</f>
        <v/>
      </c>
      <c r="BM26" s="101">
        <f>BM15-BM24</f>
        <v/>
      </c>
      <c r="BN26" s="101">
        <f>BN15-BN24</f>
        <v/>
      </c>
      <c r="BO26" s="101">
        <f>BO15-BO24</f>
        <v/>
      </c>
      <c r="BP26" s="101">
        <f>BP15-BP24</f>
        <v/>
      </c>
      <c r="BQ26" s="101">
        <f>BQ15-BQ24</f>
        <v/>
      </c>
      <c r="BR26" s="101">
        <f>BR15-BR24</f>
        <v/>
      </c>
      <c r="BS26" s="101">
        <f>BS15-BS24</f>
        <v/>
      </c>
      <c r="BT26" s="101">
        <f>BT15-BT24</f>
        <v/>
      </c>
      <c r="BU26" s="101">
        <f>BU15-BU24</f>
        <v/>
      </c>
      <c r="BV26" s="101">
        <f>BV15-BV24</f>
        <v/>
      </c>
      <c r="BW26" s="101">
        <f>BW15-BW24</f>
        <v/>
      </c>
    </row>
    <row r="28">
      <c r="A28" s="97" t="inlineStr">
        <is>
          <t>ANNUAL ROLL-UP</t>
        </is>
      </c>
      <c r="BY28" s="1" t="inlineStr">
        <is>
          <t>2025A</t>
        </is>
      </c>
      <c r="BZ28" s="1" t="inlineStr">
        <is>
          <t>2026E</t>
        </is>
      </c>
      <c r="CA28" s="1" t="inlineStr">
        <is>
          <t>2027E</t>
        </is>
      </c>
      <c r="CB28" s="1" t="inlineStr">
        <is>
          <t>2028E</t>
        </is>
      </c>
      <c r="CC28" s="1" t="inlineStr">
        <is>
          <t>2029E</t>
        </is>
      </c>
      <c r="CD28" s="1" t="inlineStr">
        <is>
          <t>2030E</t>
        </is>
      </c>
    </row>
    <row r="29">
      <c r="A29" s="1" t="inlineStr">
        <is>
          <t>New contracts</t>
        </is>
      </c>
      <c r="BY29" s="102">
        <f>SUM(D5:O5)</f>
        <v/>
      </c>
      <c r="BZ29" s="102">
        <f>SUM(P5:AA5)</f>
        <v/>
      </c>
      <c r="CA29" s="102">
        <f>SUM(AB5:AM5)</f>
        <v/>
      </c>
      <c r="CB29" s="102">
        <f>SUM(AN5:AY5)</f>
        <v/>
      </c>
      <c r="CC29" s="102">
        <f>SUM(AZ5:BK5)</f>
        <v/>
      </c>
      <c r="CD29" s="102">
        <f>SUM(BL5:BW5)</f>
        <v/>
      </c>
    </row>
    <row r="30">
      <c r="A30" s="1" t="inlineStr">
        <is>
          <t>Active contracts (Dec)</t>
        </is>
      </c>
      <c r="BY30" s="102">
        <f>O6</f>
        <v/>
      </c>
      <c r="BZ30" s="102">
        <f>AA6</f>
        <v/>
      </c>
      <c r="CA30" s="102">
        <f>AM6</f>
        <v/>
      </c>
      <c r="CB30" s="102">
        <f>AY6</f>
        <v/>
      </c>
      <c r="CC30" s="102">
        <f>BK6</f>
        <v/>
      </c>
      <c r="CD30" s="102">
        <f>BW6</f>
        <v/>
      </c>
    </row>
    <row r="31">
      <c r="A31" s="1" t="inlineStr">
        <is>
          <t>Total revenue</t>
        </is>
      </c>
      <c r="BY31" s="103">
        <f>SUM(D15:O15)</f>
        <v/>
      </c>
      <c r="BZ31" s="103">
        <f>SUM(P15:AA15)</f>
        <v/>
      </c>
      <c r="CA31" s="103">
        <f>SUM(AB15:AM15)</f>
        <v/>
      </c>
      <c r="CB31" s="103">
        <f>SUM(AN15:AY15)</f>
        <v/>
      </c>
      <c r="CC31" s="103">
        <f>SUM(AZ15:BK15)</f>
        <v/>
      </c>
      <c r="CD31" s="103">
        <f>SUM(BL15:BW15)</f>
        <v/>
      </c>
    </row>
    <row r="32">
      <c r="A32" s="1" t="inlineStr">
        <is>
          <t>Total COS</t>
        </is>
      </c>
      <c r="BY32" s="103">
        <f>SUM(D24:O24)</f>
        <v/>
      </c>
      <c r="BZ32" s="103">
        <f>SUM(P24:AA24)</f>
        <v/>
      </c>
      <c r="CA32" s="103">
        <f>SUM(AB24:AM24)</f>
        <v/>
      </c>
      <c r="CB32" s="103">
        <f>SUM(AN24:AY24)</f>
        <v/>
      </c>
      <c r="CC32" s="103">
        <f>SUM(AZ24:BK24)</f>
        <v/>
      </c>
      <c r="CD32" s="103">
        <f>SUM(BL24:BW24)</f>
        <v/>
      </c>
    </row>
    <row r="33">
      <c r="A33" s="1" t="inlineStr">
        <is>
          <t>Gross profit</t>
        </is>
      </c>
      <c r="BY33" s="103">
        <f>SUM(D26:O26)</f>
        <v/>
      </c>
      <c r="BZ33" s="103">
        <f>SUM(P26:AA26)</f>
        <v/>
      </c>
      <c r="CA33" s="103">
        <f>SUM(AB26:AM26)</f>
        <v/>
      </c>
      <c r="CB33" s="103">
        <f>SUM(AN26:AY26)</f>
        <v/>
      </c>
      <c r="CC33" s="103">
        <f>SUM(AZ26:BK26)</f>
        <v/>
      </c>
      <c r="CD33" s="103">
        <f>SUM(BL26:BW26)</f>
        <v/>
      </c>
    </row>
  </sheetData>
  <mergeCells count="4">
    <mergeCell ref="A28:H28"/>
    <mergeCell ref="A10:H10"/>
    <mergeCell ref="A17:H17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/>
  </sheetPr>
  <dimension ref="A1:BW1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BU10" sqref="BU10"/>
    </sheetView>
  </sheetViews>
  <sheetFormatPr baseColWidth="10" defaultColWidth="8.83203125" defaultRowHeight="15"/>
  <cols>
    <col width="44" customWidth="1" style="50" min="1" max="1"/>
    <col width="15.1640625" customWidth="1" style="50" min="2" max="2"/>
    <col width="15.83203125" customWidth="1" style="50" min="3" max="3"/>
    <col width="16.83203125" customWidth="1" style="50" min="4" max="75"/>
  </cols>
  <sheetData>
    <row r="1" ht="24" customHeight="1" s="50">
      <c r="A1" s="95" t="inlineStr">
        <is>
          <t>Mepco IAA Outstanding — Roll-Forward by Vintage</t>
        </is>
      </c>
    </row>
    <row r="2">
      <c r="A2" s="5" t="inlineStr">
        <is>
          <t>IAA advance per contract = Assumptions!B19 ($1,000 V50 / $1,450 v6 prog agreement). Customers repay over Assumptions!B18 months. Surety claim available month 26+.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Total new contracts (CX+ASD+Home)</t>
        </is>
      </c>
      <c r="D5" s="102">
        <f>'CX Sales'!D5+'ASD Sales'!D5+'Home Sales'!D5</f>
        <v/>
      </c>
      <c r="E5" s="102">
        <f>'CX Sales'!E5+'ASD Sales'!E5+'Home Sales'!E5</f>
        <v/>
      </c>
      <c r="F5" s="102">
        <f>'CX Sales'!F5+'ASD Sales'!F5+'Home Sales'!F5</f>
        <v/>
      </c>
      <c r="G5" s="102">
        <f>'CX Sales'!G5+'ASD Sales'!G5+'Home Sales'!G5</f>
        <v/>
      </c>
      <c r="H5" s="102">
        <f>'CX Sales'!H5+'ASD Sales'!H5+'Home Sales'!H5</f>
        <v/>
      </c>
      <c r="I5" s="102">
        <f>'CX Sales'!I5+'ASD Sales'!I5+'Home Sales'!I5</f>
        <v/>
      </c>
      <c r="J5" s="102">
        <f>'CX Sales'!J5+'ASD Sales'!J5+'Home Sales'!J5</f>
        <v/>
      </c>
      <c r="K5" s="102">
        <f>'CX Sales'!K5+'ASD Sales'!K5+'Home Sales'!K5</f>
        <v/>
      </c>
      <c r="L5" s="102">
        <f>'CX Sales'!L5+'ASD Sales'!L5+'Home Sales'!L5</f>
        <v/>
      </c>
      <c r="M5" s="102">
        <f>'CX Sales'!M5+'ASD Sales'!M5+'Home Sales'!M5</f>
        <v/>
      </c>
      <c r="N5" s="102">
        <f>'CX Sales'!N5+'ASD Sales'!N5+'Home Sales'!N5</f>
        <v/>
      </c>
      <c r="O5" s="102">
        <f>'CX Sales'!O5+'ASD Sales'!O5+'Home Sales'!O5</f>
        <v/>
      </c>
      <c r="P5" s="102">
        <f>'CX Sales'!P5+'ASD Sales'!P5+'Home Sales'!P5</f>
        <v/>
      </c>
      <c r="Q5" s="102">
        <f>'CX Sales'!Q5+'ASD Sales'!Q5+'Home Sales'!Q5</f>
        <v/>
      </c>
      <c r="R5" s="102">
        <f>'CX Sales'!R5+'ASD Sales'!R5+'Home Sales'!R5</f>
        <v/>
      </c>
      <c r="S5" s="102">
        <f>'CX Sales'!S5+'ASD Sales'!S5+'Home Sales'!S5</f>
        <v/>
      </c>
      <c r="T5" s="102">
        <f>'CX Sales'!T5+'ASD Sales'!T5+'Home Sales'!T5</f>
        <v/>
      </c>
      <c r="U5" s="102">
        <f>'CX Sales'!U5+'ASD Sales'!U5+'Home Sales'!U5</f>
        <v/>
      </c>
      <c r="V5" s="102">
        <f>'CX Sales'!V5+'ASD Sales'!V5+'Home Sales'!V5</f>
        <v/>
      </c>
      <c r="W5" s="102">
        <f>'CX Sales'!W5+'ASD Sales'!W5+'Home Sales'!W5</f>
        <v/>
      </c>
      <c r="X5" s="102">
        <f>'CX Sales'!X5+'ASD Sales'!X5+'Home Sales'!X5</f>
        <v/>
      </c>
      <c r="Y5" s="102">
        <f>'CX Sales'!Y5+'ASD Sales'!Y5+'Home Sales'!Y5</f>
        <v/>
      </c>
      <c r="Z5" s="102">
        <f>'CX Sales'!Z5+'ASD Sales'!Z5+'Home Sales'!Z5</f>
        <v/>
      </c>
      <c r="AA5" s="102">
        <f>'CX Sales'!AA5+'ASD Sales'!AA5+'Home Sales'!AA5</f>
        <v/>
      </c>
      <c r="AB5" s="102">
        <f>'CX Sales'!AB5+'ASD Sales'!AB5+'Home Sales'!AB5</f>
        <v/>
      </c>
      <c r="AC5" s="102">
        <f>'CX Sales'!AC5+'ASD Sales'!AC5+'Home Sales'!AC5</f>
        <v/>
      </c>
      <c r="AD5" s="102">
        <f>'CX Sales'!AD5+'ASD Sales'!AD5+'Home Sales'!AD5</f>
        <v/>
      </c>
      <c r="AE5" s="102">
        <f>'CX Sales'!AE5+'ASD Sales'!AE5+'Home Sales'!AE5</f>
        <v/>
      </c>
      <c r="AF5" s="102">
        <f>'CX Sales'!AF5+'ASD Sales'!AF5+'Home Sales'!AF5</f>
        <v/>
      </c>
      <c r="AG5" s="102">
        <f>'CX Sales'!AG5+'ASD Sales'!AG5+'Home Sales'!AG5</f>
        <v/>
      </c>
      <c r="AH5" s="102">
        <f>'CX Sales'!AH5+'ASD Sales'!AH5+'Home Sales'!AH5</f>
        <v/>
      </c>
      <c r="AI5" s="102">
        <f>'CX Sales'!AI5+'ASD Sales'!AI5+'Home Sales'!AI5</f>
        <v/>
      </c>
      <c r="AJ5" s="102">
        <f>'CX Sales'!AJ5+'ASD Sales'!AJ5+'Home Sales'!AJ5</f>
        <v/>
      </c>
      <c r="AK5" s="102">
        <f>'CX Sales'!AK5+'ASD Sales'!AK5+'Home Sales'!AK5</f>
        <v/>
      </c>
      <c r="AL5" s="102">
        <f>'CX Sales'!AL5+'ASD Sales'!AL5+'Home Sales'!AL5</f>
        <v/>
      </c>
      <c r="AM5" s="102">
        <f>'CX Sales'!AM5+'ASD Sales'!AM5+'Home Sales'!AM5</f>
        <v/>
      </c>
      <c r="AN5" s="102">
        <f>'CX Sales'!AN5+'ASD Sales'!AN5+'Home Sales'!AN5</f>
        <v/>
      </c>
      <c r="AO5" s="102">
        <f>'CX Sales'!AO5+'ASD Sales'!AO5+'Home Sales'!AO5</f>
        <v/>
      </c>
      <c r="AP5" s="102">
        <f>'CX Sales'!AP5+'ASD Sales'!AP5+'Home Sales'!AP5</f>
        <v/>
      </c>
      <c r="AQ5" s="102">
        <f>'CX Sales'!AQ5+'ASD Sales'!AQ5+'Home Sales'!AQ5</f>
        <v/>
      </c>
      <c r="AR5" s="102">
        <f>'CX Sales'!AR5+'ASD Sales'!AR5+'Home Sales'!AR5</f>
        <v/>
      </c>
      <c r="AS5" s="102">
        <f>'CX Sales'!AS5+'ASD Sales'!AS5+'Home Sales'!AS5</f>
        <v/>
      </c>
      <c r="AT5" s="102">
        <f>'CX Sales'!AT5+'ASD Sales'!AT5+'Home Sales'!AT5</f>
        <v/>
      </c>
      <c r="AU5" s="102">
        <f>'CX Sales'!AU5+'ASD Sales'!AU5+'Home Sales'!AU5</f>
        <v/>
      </c>
      <c r="AV5" s="102">
        <f>'CX Sales'!AV5+'ASD Sales'!AV5+'Home Sales'!AV5</f>
        <v/>
      </c>
      <c r="AW5" s="102">
        <f>'CX Sales'!AW5+'ASD Sales'!AW5+'Home Sales'!AW5</f>
        <v/>
      </c>
      <c r="AX5" s="102">
        <f>'CX Sales'!AX5+'ASD Sales'!AX5+'Home Sales'!AX5</f>
        <v/>
      </c>
      <c r="AY5" s="102">
        <f>'CX Sales'!AY5+'ASD Sales'!AY5+'Home Sales'!AY5</f>
        <v/>
      </c>
      <c r="AZ5" s="102">
        <f>'CX Sales'!AZ5+'ASD Sales'!AZ5+'Home Sales'!AZ5</f>
        <v/>
      </c>
      <c r="BA5" s="102">
        <f>'CX Sales'!BA5+'ASD Sales'!BA5+'Home Sales'!BA5</f>
        <v/>
      </c>
      <c r="BB5" s="102">
        <f>'CX Sales'!BB5+'ASD Sales'!BB5+'Home Sales'!BB5</f>
        <v/>
      </c>
      <c r="BC5" s="102">
        <f>'CX Sales'!BC5+'ASD Sales'!BC5+'Home Sales'!BC5</f>
        <v/>
      </c>
      <c r="BD5" s="102">
        <f>'CX Sales'!BD5+'ASD Sales'!BD5+'Home Sales'!BD5</f>
        <v/>
      </c>
      <c r="BE5" s="102">
        <f>'CX Sales'!BE5+'ASD Sales'!BE5+'Home Sales'!BE5</f>
        <v/>
      </c>
      <c r="BF5" s="102">
        <f>'CX Sales'!BF5+'ASD Sales'!BF5+'Home Sales'!BF5</f>
        <v/>
      </c>
      <c r="BG5" s="102">
        <f>'CX Sales'!BG5+'ASD Sales'!BG5+'Home Sales'!BG5</f>
        <v/>
      </c>
      <c r="BH5" s="102">
        <f>'CX Sales'!BH5+'ASD Sales'!BH5+'Home Sales'!BH5</f>
        <v/>
      </c>
      <c r="BI5" s="102">
        <f>'CX Sales'!BI5+'ASD Sales'!BI5+'Home Sales'!BI5</f>
        <v/>
      </c>
      <c r="BJ5" s="102">
        <f>'CX Sales'!BJ5+'ASD Sales'!BJ5+'Home Sales'!BJ5</f>
        <v/>
      </c>
      <c r="BK5" s="102">
        <f>'CX Sales'!BK5+'ASD Sales'!BK5+'Home Sales'!BK5</f>
        <v/>
      </c>
      <c r="BL5" s="102">
        <f>'CX Sales'!BL5+'ASD Sales'!BL5+'Home Sales'!BL5</f>
        <v/>
      </c>
      <c r="BM5" s="102">
        <f>'CX Sales'!BM5+'ASD Sales'!BM5+'Home Sales'!BM5</f>
        <v/>
      </c>
      <c r="BN5" s="102">
        <f>'CX Sales'!BN5+'ASD Sales'!BN5+'Home Sales'!BN5</f>
        <v/>
      </c>
      <c r="BO5" s="102">
        <f>'CX Sales'!BO5+'ASD Sales'!BO5+'Home Sales'!BO5</f>
        <v/>
      </c>
      <c r="BP5" s="102">
        <f>'CX Sales'!BP5+'ASD Sales'!BP5+'Home Sales'!BP5</f>
        <v/>
      </c>
      <c r="BQ5" s="102">
        <f>'CX Sales'!BQ5+'ASD Sales'!BQ5+'Home Sales'!BQ5</f>
        <v/>
      </c>
      <c r="BR5" s="102">
        <f>'CX Sales'!BR5+'ASD Sales'!BR5+'Home Sales'!BR5</f>
        <v/>
      </c>
      <c r="BS5" s="102">
        <f>'CX Sales'!BS5+'ASD Sales'!BS5+'Home Sales'!BS5</f>
        <v/>
      </c>
      <c r="BT5" s="102">
        <f>'CX Sales'!BT5+'ASD Sales'!BT5+'Home Sales'!BT5</f>
        <v/>
      </c>
      <c r="BU5" s="102">
        <f>'CX Sales'!BU5+'ASD Sales'!BU5+'Home Sales'!BU5</f>
        <v/>
      </c>
      <c r="BV5" s="102">
        <f>'CX Sales'!BV5+'ASD Sales'!BV5+'Home Sales'!BV5</f>
        <v/>
      </c>
      <c r="BW5" s="102">
        <f>'CX Sales'!BW5+'ASD Sales'!BW5+'Home Sales'!BW5</f>
        <v/>
      </c>
    </row>
    <row r="6">
      <c r="A6" s="1" t="inlineStr">
        <is>
          <t>IAA originated (new contracts × IAA)</t>
        </is>
      </c>
      <c r="D6" s="61">
        <f>D5*Assumptions!$B$34</f>
        <v/>
      </c>
      <c r="E6" s="61">
        <f>E5*Assumptions!$B$34</f>
        <v/>
      </c>
      <c r="F6" s="61">
        <f>F5*Assumptions!$B$34</f>
        <v/>
      </c>
      <c r="G6" s="61">
        <f>G5*Assumptions!$B$34</f>
        <v/>
      </c>
      <c r="H6" s="61">
        <f>H5*Assumptions!$B$34</f>
        <v/>
      </c>
      <c r="I6" s="61">
        <f>I5*Assumptions!$B$34</f>
        <v/>
      </c>
      <c r="J6" s="61">
        <f>J5*Assumptions!$B$34</f>
        <v/>
      </c>
      <c r="K6" s="61">
        <f>K5*Assumptions!$B$34</f>
        <v/>
      </c>
      <c r="L6" s="61">
        <f>L5*Assumptions!$B$34</f>
        <v/>
      </c>
      <c r="M6" s="61">
        <f>M5*Assumptions!$B$34</f>
        <v/>
      </c>
      <c r="N6" s="61">
        <f>N5*Assumptions!$B$34</f>
        <v/>
      </c>
      <c r="O6" s="61">
        <f>O5*Assumptions!$B$34</f>
        <v/>
      </c>
      <c r="P6" s="61">
        <f>P5*Assumptions!$B$34</f>
        <v/>
      </c>
      <c r="Q6" s="61">
        <f>Q5*Assumptions!$B$34</f>
        <v/>
      </c>
      <c r="R6" s="61">
        <f>R5*Assumptions!$B$34</f>
        <v/>
      </c>
      <c r="S6" s="61">
        <f>S5*Assumptions!$B$34</f>
        <v/>
      </c>
      <c r="T6" s="61">
        <f>T5*Assumptions!$B$34</f>
        <v/>
      </c>
      <c r="U6" s="61">
        <f>U5*Assumptions!$B$34</f>
        <v/>
      </c>
      <c r="V6" s="61">
        <f>V5*Assumptions!$B$34</f>
        <v/>
      </c>
      <c r="W6" s="61">
        <f>W5*Assumptions!$B$34</f>
        <v/>
      </c>
      <c r="X6" s="61">
        <f>X5*Assumptions!$B$34</f>
        <v/>
      </c>
      <c r="Y6" s="61">
        <f>Y5*Assumptions!$B$34</f>
        <v/>
      </c>
      <c r="Z6" s="61">
        <f>Z5*Assumptions!$B$34</f>
        <v/>
      </c>
      <c r="AA6" s="61">
        <f>AA5*Assumptions!$B$34</f>
        <v/>
      </c>
      <c r="AB6" s="61">
        <f>AB5*Assumptions!$B$34</f>
        <v/>
      </c>
      <c r="AC6" s="61">
        <f>AC5*Assumptions!$B$34</f>
        <v/>
      </c>
      <c r="AD6" s="61">
        <f>AD5*Assumptions!$B$34</f>
        <v/>
      </c>
      <c r="AE6" s="61">
        <f>AE5*Assumptions!$B$34</f>
        <v/>
      </c>
      <c r="AF6" s="61">
        <f>AF5*Assumptions!$B$34</f>
        <v/>
      </c>
      <c r="AG6" s="61">
        <f>AG5*Assumptions!$B$34</f>
        <v/>
      </c>
      <c r="AH6" s="61">
        <f>AH5*Assumptions!$B$34</f>
        <v/>
      </c>
      <c r="AI6" s="61">
        <f>AI5*Assumptions!$B$34</f>
        <v/>
      </c>
      <c r="AJ6" s="61">
        <f>AJ5*Assumptions!$B$34</f>
        <v/>
      </c>
      <c r="AK6" s="61">
        <f>AK5*Assumptions!$B$34</f>
        <v/>
      </c>
      <c r="AL6" s="61">
        <f>AL5*Assumptions!$B$34</f>
        <v/>
      </c>
      <c r="AM6" s="61">
        <f>AM5*Assumptions!$B$34</f>
        <v/>
      </c>
      <c r="AN6" s="61">
        <f>AN5*Assumptions!$B$34</f>
        <v/>
      </c>
      <c r="AO6" s="61">
        <f>AO5*Assumptions!$B$34</f>
        <v/>
      </c>
      <c r="AP6" s="61">
        <f>AP5*Assumptions!$B$34</f>
        <v/>
      </c>
      <c r="AQ6" s="61">
        <f>AQ5*Assumptions!$B$34</f>
        <v/>
      </c>
      <c r="AR6" s="61">
        <f>AR5*Assumptions!$B$34</f>
        <v/>
      </c>
      <c r="AS6" s="61">
        <f>AS5*Assumptions!$B$34</f>
        <v/>
      </c>
      <c r="AT6" s="61">
        <f>AT5*Assumptions!$B$34</f>
        <v/>
      </c>
      <c r="AU6" s="61">
        <f>AU5*Assumptions!$B$34</f>
        <v/>
      </c>
      <c r="AV6" s="61">
        <f>AV5*Assumptions!$B$34</f>
        <v/>
      </c>
      <c r="AW6" s="61">
        <f>AW5*Assumptions!$B$34</f>
        <v/>
      </c>
      <c r="AX6" s="61">
        <f>AX5*Assumptions!$B$34</f>
        <v/>
      </c>
      <c r="AY6" s="61">
        <f>AY5*Assumptions!$B$34</f>
        <v/>
      </c>
      <c r="AZ6" s="61">
        <f>AZ5*Assumptions!$B$34</f>
        <v/>
      </c>
      <c r="BA6" s="61">
        <f>BA5*Assumptions!$B$34</f>
        <v/>
      </c>
      <c r="BB6" s="61">
        <f>BB5*Assumptions!$B$34</f>
        <v/>
      </c>
      <c r="BC6" s="61">
        <f>BC5*Assumptions!$B$34</f>
        <v/>
      </c>
      <c r="BD6" s="61">
        <f>BD5*Assumptions!$B$34</f>
        <v/>
      </c>
      <c r="BE6" s="61">
        <f>BE5*Assumptions!$B$34</f>
        <v/>
      </c>
      <c r="BF6" s="61">
        <f>BF5*Assumptions!$B$34</f>
        <v/>
      </c>
      <c r="BG6" s="61">
        <f>BG5*Assumptions!$B$34</f>
        <v/>
      </c>
      <c r="BH6" s="61">
        <f>BH5*Assumptions!$B$34</f>
        <v/>
      </c>
      <c r="BI6" s="61">
        <f>BI5*Assumptions!$B$34</f>
        <v/>
      </c>
      <c r="BJ6" s="61">
        <f>BJ5*Assumptions!$B$34</f>
        <v/>
      </c>
      <c r="BK6" s="61">
        <f>BK5*Assumptions!$B$34</f>
        <v/>
      </c>
      <c r="BL6" s="61">
        <f>BL5*Assumptions!$B$34</f>
        <v/>
      </c>
      <c r="BM6" s="61">
        <f>BM5*Assumptions!$B$34</f>
        <v/>
      </c>
      <c r="BN6" s="61">
        <f>BN5*Assumptions!$B$34</f>
        <v/>
      </c>
      <c r="BO6" s="61">
        <f>BO5*Assumptions!$B$34</f>
        <v/>
      </c>
      <c r="BP6" s="61">
        <f>BP5*Assumptions!$B$34</f>
        <v/>
      </c>
      <c r="BQ6" s="61">
        <f>BQ5*Assumptions!$B$34</f>
        <v/>
      </c>
      <c r="BR6" s="61">
        <f>BR5*Assumptions!$B$34</f>
        <v/>
      </c>
      <c r="BS6" s="61">
        <f>BS5*Assumptions!$B$34</f>
        <v/>
      </c>
      <c r="BT6" s="61">
        <f>BT5*Assumptions!$B$34</f>
        <v/>
      </c>
      <c r="BU6" s="61">
        <f>BU5*Assumptions!$B$34</f>
        <v/>
      </c>
      <c r="BV6" s="61">
        <f>BV5*Assumptions!$B$34</f>
        <v/>
      </c>
      <c r="BW6" s="61">
        <f>BW5*Assumptions!$B$34</f>
        <v/>
      </c>
    </row>
    <row r="7">
      <c r="A7" s="1" t="inlineStr">
        <is>
          <t>IAA repaid (vintage straight-line over advance period)</t>
        </is>
      </c>
      <c r="D7" s="17">
        <f>SUM(D6:D6)/8</f>
        <v/>
      </c>
      <c r="E7" s="17">
        <f>SUM(D6:E6)/8</f>
        <v/>
      </c>
      <c r="F7" s="17">
        <f>SUM(D6:F6)/8</f>
        <v/>
      </c>
      <c r="G7" s="17">
        <f>SUM(D6:G6)/8</f>
        <v/>
      </c>
      <c r="H7" s="17">
        <f>SUM(D6:H6)/8</f>
        <v/>
      </c>
      <c r="I7" s="17">
        <f>SUM(D6:I6)/8</f>
        <v/>
      </c>
      <c r="J7" s="17">
        <f>SUM(D6:J6)/8</f>
        <v/>
      </c>
      <c r="K7" s="17">
        <f>SUM(D6:K6)/8</f>
        <v/>
      </c>
      <c r="L7" s="17">
        <f>SUM(E6:L6)/8</f>
        <v/>
      </c>
      <c r="M7" s="17">
        <f>SUM(F6:M6)/8</f>
        <v/>
      </c>
      <c r="N7" s="17">
        <f>SUM(G6:N6)/8</f>
        <v/>
      </c>
      <c r="O7" s="17">
        <f>SUM(H6:O6)/8</f>
        <v/>
      </c>
      <c r="P7" s="17">
        <f>SUM(I6:P6)/8</f>
        <v/>
      </c>
      <c r="Q7" s="17">
        <f>SUM(J6:Q6)/8</f>
        <v/>
      </c>
      <c r="R7" s="17">
        <f>SUM(K6:R6)/8</f>
        <v/>
      </c>
      <c r="S7" s="17">
        <f>SUM(L6:S6)/8</f>
        <v/>
      </c>
      <c r="T7" s="17">
        <f>SUM(M6:T6)/8</f>
        <v/>
      </c>
      <c r="U7" s="17">
        <f>SUM(N6:U6)/8</f>
        <v/>
      </c>
      <c r="V7" s="17">
        <f>SUM(O6:V6)/8</f>
        <v/>
      </c>
      <c r="W7" s="17">
        <f>SUM(P6:W6)/8</f>
        <v/>
      </c>
      <c r="X7" s="17">
        <f>SUM(Q6:X6)/8</f>
        <v/>
      </c>
      <c r="Y7" s="17">
        <f>SUM(R6:Y6)/8</f>
        <v/>
      </c>
      <c r="Z7" s="17">
        <f>SUM(S6:Z6)/8</f>
        <v/>
      </c>
      <c r="AA7" s="17">
        <f>SUM(T6:AA6)/8</f>
        <v/>
      </c>
      <c r="AB7" s="17">
        <f>SUM(U6:AB6)/8</f>
        <v/>
      </c>
      <c r="AC7" s="17">
        <f>SUM(V6:AC6)/8</f>
        <v/>
      </c>
      <c r="AD7" s="17">
        <f>SUM(W6:AD6)/8</f>
        <v/>
      </c>
      <c r="AE7" s="17">
        <f>SUM(X6:AE6)/8</f>
        <v/>
      </c>
      <c r="AF7" s="17">
        <f>SUM(Y6:AF6)/8</f>
        <v/>
      </c>
      <c r="AG7" s="17">
        <f>SUM(Z6:AG6)/8</f>
        <v/>
      </c>
      <c r="AH7" s="17">
        <f>SUM(AA6:AH6)/8</f>
        <v/>
      </c>
      <c r="AI7" s="17">
        <f>SUM(AB6:AI6)/8</f>
        <v/>
      </c>
      <c r="AJ7" s="17">
        <f>SUM(AC6:AJ6)/8</f>
        <v/>
      </c>
      <c r="AK7" s="17">
        <f>SUM(AD6:AK6)/8</f>
        <v/>
      </c>
      <c r="AL7" s="17">
        <f>SUM(AE6:AL6)/8</f>
        <v/>
      </c>
      <c r="AM7" s="17">
        <f>SUM(AF6:AM6)/8</f>
        <v/>
      </c>
      <c r="AN7" s="17">
        <f>SUM(AG6:AN6)/8</f>
        <v/>
      </c>
      <c r="AO7" s="17">
        <f>SUM(AH6:AO6)/8</f>
        <v/>
      </c>
      <c r="AP7" s="17">
        <f>SUM(AI6:AP6)/8</f>
        <v/>
      </c>
      <c r="AQ7" s="17">
        <f>SUM(AJ6:AQ6)/8</f>
        <v/>
      </c>
      <c r="AR7" s="17">
        <f>SUM(AK6:AR6)/8</f>
        <v/>
      </c>
      <c r="AS7" s="17">
        <f>SUM(AL6:AS6)/8</f>
        <v/>
      </c>
      <c r="AT7" s="17">
        <f>SUM(AM6:AT6)/8</f>
        <v/>
      </c>
      <c r="AU7" s="17">
        <f>SUM(AN6:AU6)/8</f>
        <v/>
      </c>
      <c r="AV7" s="17">
        <f>SUM(AO6:AV6)/8</f>
        <v/>
      </c>
      <c r="AW7" s="17">
        <f>SUM(AP6:AW6)/8</f>
        <v/>
      </c>
      <c r="AX7" s="17">
        <f>SUM(AQ6:AX6)/8</f>
        <v/>
      </c>
      <c r="AY7" s="17">
        <f>SUM(AR6:AY6)/8</f>
        <v/>
      </c>
      <c r="AZ7" s="17">
        <f>SUM(AS6:AZ6)/8</f>
        <v/>
      </c>
      <c r="BA7" s="17">
        <f>SUM(AT6:BA6)/8</f>
        <v/>
      </c>
      <c r="BB7" s="17">
        <f>SUM(AU6:BB6)/8</f>
        <v/>
      </c>
      <c r="BC7" s="17">
        <f>SUM(AV6:BC6)/8</f>
        <v/>
      </c>
      <c r="BD7" s="17">
        <f>SUM(AW6:BD6)/8</f>
        <v/>
      </c>
      <c r="BE7" s="17">
        <f>SUM(AX6:BE6)/8</f>
        <v/>
      </c>
      <c r="BF7" s="17">
        <f>SUM(AY6:BF6)/8</f>
        <v/>
      </c>
      <c r="BG7" s="17">
        <f>SUM(AZ6:BG6)/8</f>
        <v/>
      </c>
      <c r="BH7" s="17">
        <f>SUM(BA6:BH6)/8</f>
        <v/>
      </c>
      <c r="BI7" s="17">
        <f>SUM(BB6:BI6)/8</f>
        <v/>
      </c>
      <c r="BJ7" s="17">
        <f>SUM(BC6:BJ6)/8</f>
        <v/>
      </c>
      <c r="BK7" s="17">
        <f>SUM(BD6:BK6)/8</f>
        <v/>
      </c>
      <c r="BL7" s="17">
        <f>SUM(BE6:BL6)/8</f>
        <v/>
      </c>
      <c r="BM7" s="17">
        <f>SUM(BF6:BM6)/8</f>
        <v/>
      </c>
      <c r="BN7" s="17">
        <f>SUM(BG6:BN6)/8</f>
        <v/>
      </c>
      <c r="BO7" s="17">
        <f>SUM(BH6:BO6)/8</f>
        <v/>
      </c>
      <c r="BP7" s="17">
        <f>SUM(BI6:BP6)/8</f>
        <v/>
      </c>
      <c r="BQ7" s="17">
        <f>SUM(BJ6:BQ6)/8</f>
        <v/>
      </c>
      <c r="BR7" s="17">
        <f>SUM(BK6:BR6)/8</f>
        <v/>
      </c>
      <c r="BS7" s="17">
        <f>SUM(BL6:BS6)/8</f>
        <v/>
      </c>
      <c r="BT7" s="17">
        <f>SUM(BM6:BT6)/8</f>
        <v/>
      </c>
      <c r="BU7" s="17">
        <f>SUM(BN6:BU6)/8</f>
        <v/>
      </c>
      <c r="BV7" s="17">
        <f>SUM(BO6:BV6)/8</f>
        <v/>
      </c>
      <c r="BW7" s="17">
        <f>SUM(BP6:BW6)/8</f>
        <v/>
      </c>
    </row>
    <row r="9">
      <c r="A9" s="1" t="inlineStr">
        <is>
          <t>IAA outstanding (beginning of period)</t>
        </is>
      </c>
      <c r="C9" s="14" t="n">
        <v>39225379</v>
      </c>
    </row>
    <row r="10">
      <c r="A10" s="1" t="inlineStr">
        <is>
          <t>IAA outstanding (end of period)</t>
        </is>
      </c>
      <c r="C10" s="14" t="n">
        <v>39225379</v>
      </c>
      <c r="D10" s="17">
        <f>('CX Sales'!D6+'ASD Sales'!D6+'Home Sales'!D6)*$B$11</f>
        <v/>
      </c>
      <c r="E10" s="17">
        <f>('CX Sales'!E6+'ASD Sales'!E6+'Home Sales'!E6)*$B$11</f>
        <v/>
      </c>
      <c r="F10" s="17">
        <f>('CX Sales'!F6+'ASD Sales'!F6+'Home Sales'!F6)*$B$11</f>
        <v/>
      </c>
      <c r="G10" s="17">
        <f>('CX Sales'!G6+'ASD Sales'!G6+'Home Sales'!G6)*$B$11</f>
        <v/>
      </c>
      <c r="H10" s="17">
        <f>('CX Sales'!H6+'ASD Sales'!H6+'Home Sales'!H6)*$B$11</f>
        <v/>
      </c>
      <c r="I10" s="17">
        <f>('CX Sales'!I6+'ASD Sales'!I6+'Home Sales'!I6)*$B$11</f>
        <v/>
      </c>
      <c r="J10" s="17">
        <f>('CX Sales'!J6+'ASD Sales'!J6+'Home Sales'!J6)*$B$11</f>
        <v/>
      </c>
      <c r="K10" s="17">
        <f>('CX Sales'!K6+'ASD Sales'!K6+'Home Sales'!K6)*$B$11</f>
        <v/>
      </c>
      <c r="L10" s="17">
        <f>('CX Sales'!L6+'ASD Sales'!L6+'Home Sales'!L6)*$B$11</f>
        <v/>
      </c>
      <c r="M10" s="17">
        <f>('CX Sales'!M6+'ASD Sales'!M6+'Home Sales'!M6)*$B$11</f>
        <v/>
      </c>
      <c r="N10" s="17">
        <f>('CX Sales'!N6+'ASD Sales'!N6+'Home Sales'!N6)*$B$11</f>
        <v/>
      </c>
      <c r="O10" s="17">
        <f>('CX Sales'!O6+'ASD Sales'!O6+'Home Sales'!O6)*$B$11</f>
        <v/>
      </c>
      <c r="P10" s="17">
        <f>('CX Sales'!P6+'ASD Sales'!P6+'Home Sales'!P6)*$B$11</f>
        <v/>
      </c>
      <c r="Q10" s="17">
        <f>('CX Sales'!Q6+'ASD Sales'!Q6+'Home Sales'!Q6)*$B$11</f>
        <v/>
      </c>
      <c r="R10" s="17">
        <f>('CX Sales'!R6+'ASD Sales'!R6+'Home Sales'!R6)*$B$11</f>
        <v/>
      </c>
      <c r="S10" s="17">
        <f>('CX Sales'!S6+'ASD Sales'!S6+'Home Sales'!S6)*$B$11</f>
        <v/>
      </c>
      <c r="T10" s="17">
        <f>('CX Sales'!T6+'ASD Sales'!T6+'Home Sales'!T6)*$B$11</f>
        <v/>
      </c>
      <c r="U10" s="17">
        <f>('CX Sales'!U6+'ASD Sales'!U6+'Home Sales'!U6)*$B$11</f>
        <v/>
      </c>
      <c r="V10" s="17">
        <f>('CX Sales'!V6+'ASD Sales'!V6+'Home Sales'!V6)*$B$11</f>
        <v/>
      </c>
      <c r="W10" s="17">
        <f>('CX Sales'!W6+'ASD Sales'!W6+'Home Sales'!W6)*$B$11</f>
        <v/>
      </c>
      <c r="X10" s="17">
        <f>('CX Sales'!X6+'ASD Sales'!X6+'Home Sales'!X6)*$B$11</f>
        <v/>
      </c>
      <c r="Y10" s="17">
        <f>('CX Sales'!Y6+'ASD Sales'!Y6+'Home Sales'!Y6)*$B$11</f>
        <v/>
      </c>
      <c r="Z10" s="17">
        <f>('CX Sales'!Z6+'ASD Sales'!Z6+'Home Sales'!Z6)*$B$11</f>
        <v/>
      </c>
      <c r="AA10" s="17">
        <f>('CX Sales'!AA6+'ASD Sales'!AA6+'Home Sales'!AA6)*$B$11</f>
        <v/>
      </c>
      <c r="AB10" s="17">
        <f>('CX Sales'!AB6+'ASD Sales'!AB6+'Home Sales'!AB6)*$B$11</f>
        <v/>
      </c>
      <c r="AC10" s="17">
        <f>('CX Sales'!AC6+'ASD Sales'!AC6+'Home Sales'!AC6)*$B$11</f>
        <v/>
      </c>
      <c r="AD10" s="17">
        <f>('CX Sales'!AD6+'ASD Sales'!AD6+'Home Sales'!AD6)*$B$11</f>
        <v/>
      </c>
      <c r="AE10" s="17">
        <f>('CX Sales'!AE6+'ASD Sales'!AE6+'Home Sales'!AE6)*$B$11</f>
        <v/>
      </c>
      <c r="AF10" s="17">
        <f>('CX Sales'!AF6+'ASD Sales'!AF6+'Home Sales'!AF6)*$B$11</f>
        <v/>
      </c>
      <c r="AG10" s="17">
        <f>('CX Sales'!AG6+'ASD Sales'!AG6+'Home Sales'!AG6)*$B$11</f>
        <v/>
      </c>
      <c r="AH10" s="17">
        <f>('CX Sales'!AH6+'ASD Sales'!AH6+'Home Sales'!AH6)*$B$11</f>
        <v/>
      </c>
      <c r="AI10" s="17">
        <f>('CX Sales'!AI6+'ASD Sales'!AI6+'Home Sales'!AI6)*$B$11</f>
        <v/>
      </c>
      <c r="AJ10" s="17">
        <f>('CX Sales'!AJ6+'ASD Sales'!AJ6+'Home Sales'!AJ6)*$B$11</f>
        <v/>
      </c>
      <c r="AK10" s="17">
        <f>('CX Sales'!AK6+'ASD Sales'!AK6+'Home Sales'!AK6)*$B$11</f>
        <v/>
      </c>
      <c r="AL10" s="17">
        <f>('CX Sales'!AL6+'ASD Sales'!AL6+'Home Sales'!AL6)*$B$11</f>
        <v/>
      </c>
      <c r="AM10" s="17">
        <f>('CX Sales'!AM6+'ASD Sales'!AM6+'Home Sales'!AM6)*$B$11</f>
        <v/>
      </c>
      <c r="AN10" s="17">
        <f>('CX Sales'!AN6+'ASD Sales'!AN6+'Home Sales'!AN6)*$B$11</f>
        <v/>
      </c>
      <c r="AO10" s="17">
        <f>('CX Sales'!AO6+'ASD Sales'!AO6+'Home Sales'!AO6)*$B$11</f>
        <v/>
      </c>
      <c r="AP10" s="17">
        <f>('CX Sales'!AP6+'ASD Sales'!AP6+'Home Sales'!AP6)*$B$11</f>
        <v/>
      </c>
      <c r="AQ10" s="17">
        <f>('CX Sales'!AQ6+'ASD Sales'!AQ6+'Home Sales'!AQ6)*$B$11</f>
        <v/>
      </c>
      <c r="AR10" s="17">
        <f>('CX Sales'!AR6+'ASD Sales'!AR6+'Home Sales'!AR6)*$B$11</f>
        <v/>
      </c>
      <c r="AS10" s="17">
        <f>('CX Sales'!AS6+'ASD Sales'!AS6+'Home Sales'!AS6)*$B$11</f>
        <v/>
      </c>
      <c r="AT10" s="17">
        <f>('CX Sales'!AT6+'ASD Sales'!AT6+'Home Sales'!AT6)*$B$11</f>
        <v/>
      </c>
      <c r="AU10" s="17">
        <f>('CX Sales'!AU6+'ASD Sales'!AU6+'Home Sales'!AU6)*$B$11</f>
        <v/>
      </c>
      <c r="AV10" s="17">
        <f>('CX Sales'!AV6+'ASD Sales'!AV6+'Home Sales'!AV6)*$B$11</f>
        <v/>
      </c>
      <c r="AW10" s="17">
        <f>('CX Sales'!AW6+'ASD Sales'!AW6+'Home Sales'!AW6)*$B$11</f>
        <v/>
      </c>
      <c r="AX10" s="17">
        <f>('CX Sales'!AX6+'ASD Sales'!AX6+'Home Sales'!AX6)*$B$11</f>
        <v/>
      </c>
      <c r="AY10" s="17">
        <f>('CX Sales'!AY6+'ASD Sales'!AY6+'Home Sales'!AY6)*$B$11</f>
        <v/>
      </c>
      <c r="AZ10" s="17">
        <f>('CX Sales'!AZ6+'ASD Sales'!AZ6+'Home Sales'!AZ6)*$B$11</f>
        <v/>
      </c>
      <c r="BA10" s="17">
        <f>('CX Sales'!BA6+'ASD Sales'!BA6+'Home Sales'!BA6)*$B$11</f>
        <v/>
      </c>
      <c r="BB10" s="17">
        <f>('CX Sales'!BB6+'ASD Sales'!BB6+'Home Sales'!BB6)*$B$11</f>
        <v/>
      </c>
      <c r="BC10" s="17">
        <f>('CX Sales'!BC6+'ASD Sales'!BC6+'Home Sales'!BC6)*$B$11</f>
        <v/>
      </c>
      <c r="BD10" s="17">
        <f>('CX Sales'!BD6+'ASD Sales'!BD6+'Home Sales'!BD6)*$B$11</f>
        <v/>
      </c>
      <c r="BE10" s="17">
        <f>('CX Sales'!BE6+'ASD Sales'!BE6+'Home Sales'!BE6)*$B$11</f>
        <v/>
      </c>
      <c r="BF10" s="17">
        <f>('CX Sales'!BF6+'ASD Sales'!BF6+'Home Sales'!BF6)*$B$11</f>
        <v/>
      </c>
      <c r="BG10" s="17">
        <f>('CX Sales'!BG6+'ASD Sales'!BG6+'Home Sales'!BG6)*$B$11</f>
        <v/>
      </c>
      <c r="BH10" s="17">
        <f>('CX Sales'!BH6+'ASD Sales'!BH6+'Home Sales'!BH6)*$B$11</f>
        <v/>
      </c>
      <c r="BI10" s="17">
        <f>('CX Sales'!BI6+'ASD Sales'!BI6+'Home Sales'!BI6)*$B$11</f>
        <v/>
      </c>
      <c r="BJ10" s="17">
        <f>('CX Sales'!BJ6+'ASD Sales'!BJ6+'Home Sales'!BJ6)*$B$11</f>
        <v/>
      </c>
      <c r="BK10" s="17">
        <f>('CX Sales'!BK6+'ASD Sales'!BK6+'Home Sales'!BK6)*$B$11</f>
        <v/>
      </c>
      <c r="BL10" s="17">
        <f>('CX Sales'!BL6+'ASD Sales'!BL6+'Home Sales'!BL6)*$B$11</f>
        <v/>
      </c>
      <c r="BM10" s="17">
        <f>('CX Sales'!BM6+'ASD Sales'!BM6+'Home Sales'!BM6)*$B$11</f>
        <v/>
      </c>
      <c r="BN10" s="17">
        <f>('CX Sales'!BN6+'ASD Sales'!BN6+'Home Sales'!BN6)*$B$11</f>
        <v/>
      </c>
      <c r="BO10" s="17">
        <f>('CX Sales'!BO6+'ASD Sales'!BO6+'Home Sales'!BO6)*$B$11</f>
        <v/>
      </c>
      <c r="BP10" s="17">
        <f>('CX Sales'!BP6+'ASD Sales'!BP6+'Home Sales'!BP6)*$B$11</f>
        <v/>
      </c>
      <c r="BQ10" s="17">
        <f>('CX Sales'!BQ6+'ASD Sales'!BQ6+'Home Sales'!BQ6)*$B$11</f>
        <v/>
      </c>
      <c r="BR10" s="17">
        <f>('CX Sales'!BR6+'ASD Sales'!BR6+'Home Sales'!BR6)*$B$11</f>
        <v/>
      </c>
      <c r="BS10" s="17">
        <f>('CX Sales'!BS6+'ASD Sales'!BS6+'Home Sales'!BS6)*$B$11</f>
        <v/>
      </c>
      <c r="BT10" s="17">
        <f>('CX Sales'!BT6+'ASD Sales'!BT6+'Home Sales'!BT6)*$B$11</f>
        <v/>
      </c>
      <c r="BU10" s="17">
        <f>('CX Sales'!BU6+'ASD Sales'!BU6+'Home Sales'!BU6)*$B$11</f>
        <v/>
      </c>
      <c r="BV10" s="17">
        <f>('CX Sales'!BV6+'ASD Sales'!BV6+'Home Sales'!BV6)*$B$11</f>
        <v/>
      </c>
      <c r="BW10" s="17">
        <f>('CX Sales'!BW6+'ASD Sales'!BW6+'Home Sales'!BW6)*$B$11</f>
        <v/>
      </c>
    </row>
    <row r="11">
      <c r="A11" s="1" t="inlineStr">
        <is>
          <t>Mepco Reserve per active contract ($)</t>
        </is>
      </c>
      <c r="B11" s="14" t="n">
        <v>2850</v>
      </c>
      <c r="D11" s="5" t="inlineStr">
        <is>
          <t>Calibrated to Sep-25 actual: $105M / ~42K active contracts</t>
        </is>
      </c>
    </row>
    <row r="12">
      <c r="A12" s="1" t="inlineStr">
        <is>
          <t>Performance Bond premium owed Mepco (6% × originated)</t>
        </is>
      </c>
      <c r="D12" s="17">
        <f>D6*Assumptions!$B$35</f>
        <v/>
      </c>
      <c r="E12" s="17">
        <f>E6*Assumptions!$B$35</f>
        <v/>
      </c>
      <c r="F12" s="17">
        <f>F6*Assumptions!$B$35</f>
        <v/>
      </c>
      <c r="G12" s="17">
        <f>G6*Assumptions!$B$35</f>
        <v/>
      </c>
      <c r="H12" s="17">
        <f>H6*Assumptions!$B$35</f>
        <v/>
      </c>
      <c r="I12" s="17">
        <f>I6*Assumptions!$B$35</f>
        <v/>
      </c>
      <c r="J12" s="17">
        <f>J6*Assumptions!$B$35</f>
        <v/>
      </c>
      <c r="K12" s="17">
        <f>K6*Assumptions!$B$35</f>
        <v/>
      </c>
      <c r="L12" s="17">
        <f>L6*Assumptions!$B$35</f>
        <v/>
      </c>
      <c r="M12" s="17">
        <f>M6*Assumptions!$B$35</f>
        <v/>
      </c>
      <c r="N12" s="17">
        <f>N6*Assumptions!$B$35</f>
        <v/>
      </c>
      <c r="O12" s="17">
        <f>O6*Assumptions!$B$35</f>
        <v/>
      </c>
      <c r="P12" s="17">
        <f>P6*Assumptions!$B$35</f>
        <v/>
      </c>
      <c r="Q12" s="17">
        <f>Q6*Assumptions!$B$35</f>
        <v/>
      </c>
      <c r="R12" s="17">
        <f>R6*Assumptions!$B$35</f>
        <v/>
      </c>
      <c r="S12" s="17">
        <f>S6*Assumptions!$B$35</f>
        <v/>
      </c>
      <c r="T12" s="17">
        <f>T6*Assumptions!$B$35</f>
        <v/>
      </c>
      <c r="U12" s="17">
        <f>U6*Assumptions!$B$35</f>
        <v/>
      </c>
      <c r="V12" s="17">
        <f>V6*Assumptions!$B$35</f>
        <v/>
      </c>
      <c r="W12" s="17">
        <f>W6*Assumptions!$B$35</f>
        <v/>
      </c>
      <c r="X12" s="17">
        <f>X6*Assumptions!$B$35</f>
        <v/>
      </c>
      <c r="Y12" s="17">
        <f>Y6*Assumptions!$B$35</f>
        <v/>
      </c>
      <c r="Z12" s="17">
        <f>Z6*Assumptions!$B$35</f>
        <v/>
      </c>
      <c r="AA12" s="17">
        <f>AA6*Assumptions!$B$35</f>
        <v/>
      </c>
      <c r="AB12" s="17">
        <f>AB6*Assumptions!$B$35</f>
        <v/>
      </c>
      <c r="AC12" s="17">
        <f>AC6*Assumptions!$B$35</f>
        <v/>
      </c>
      <c r="AD12" s="17">
        <f>AD6*Assumptions!$B$35</f>
        <v/>
      </c>
      <c r="AE12" s="17">
        <f>AE6*Assumptions!$B$35</f>
        <v/>
      </c>
      <c r="AF12" s="17">
        <f>AF6*Assumptions!$B$35</f>
        <v/>
      </c>
      <c r="AG12" s="17">
        <f>AG6*Assumptions!$B$35</f>
        <v/>
      </c>
      <c r="AH12" s="17">
        <f>AH6*Assumptions!$B$35</f>
        <v/>
      </c>
      <c r="AI12" s="17">
        <f>AI6*Assumptions!$B$35</f>
        <v/>
      </c>
      <c r="AJ12" s="17">
        <f>AJ6*Assumptions!$B$35</f>
        <v/>
      </c>
      <c r="AK12" s="17">
        <f>AK6*Assumptions!$B$35</f>
        <v/>
      </c>
      <c r="AL12" s="17">
        <f>AL6*Assumptions!$B$35</f>
        <v/>
      </c>
      <c r="AM12" s="17">
        <f>AM6*Assumptions!$B$35</f>
        <v/>
      </c>
      <c r="AN12" s="17">
        <f>AN6*Assumptions!$B$35</f>
        <v/>
      </c>
      <c r="AO12" s="17">
        <f>AO6*Assumptions!$B$35</f>
        <v/>
      </c>
      <c r="AP12" s="17">
        <f>AP6*Assumptions!$B$35</f>
        <v/>
      </c>
      <c r="AQ12" s="17">
        <f>AQ6*Assumptions!$B$35</f>
        <v/>
      </c>
      <c r="AR12" s="17">
        <f>AR6*Assumptions!$B$35</f>
        <v/>
      </c>
      <c r="AS12" s="17">
        <f>AS6*Assumptions!$B$35</f>
        <v/>
      </c>
      <c r="AT12" s="17">
        <f>AT6*Assumptions!$B$35</f>
        <v/>
      </c>
      <c r="AU12" s="17">
        <f>AU6*Assumptions!$B$35</f>
        <v/>
      </c>
      <c r="AV12" s="17">
        <f>AV6*Assumptions!$B$35</f>
        <v/>
      </c>
      <c r="AW12" s="17">
        <f>AW6*Assumptions!$B$35</f>
        <v/>
      </c>
      <c r="AX12" s="17">
        <f>AX6*Assumptions!$B$35</f>
        <v/>
      </c>
      <c r="AY12" s="17">
        <f>AY6*Assumptions!$B$35</f>
        <v/>
      </c>
      <c r="AZ12" s="17">
        <f>AZ6*Assumptions!$B$35</f>
        <v/>
      </c>
      <c r="BA12" s="17">
        <f>BA6*Assumptions!$B$35</f>
        <v/>
      </c>
      <c r="BB12" s="17">
        <f>BB6*Assumptions!$B$35</f>
        <v/>
      </c>
      <c r="BC12" s="17">
        <f>BC6*Assumptions!$B$35</f>
        <v/>
      </c>
      <c r="BD12" s="17">
        <f>BD6*Assumptions!$B$35</f>
        <v/>
      </c>
      <c r="BE12" s="17">
        <f>BE6*Assumptions!$B$35</f>
        <v/>
      </c>
      <c r="BF12" s="17">
        <f>BF6*Assumptions!$B$35</f>
        <v/>
      </c>
      <c r="BG12" s="17">
        <f>BG6*Assumptions!$B$35</f>
        <v/>
      </c>
      <c r="BH12" s="17">
        <f>BH6*Assumptions!$B$35</f>
        <v/>
      </c>
      <c r="BI12" s="17">
        <f>BI6*Assumptions!$B$35</f>
        <v/>
      </c>
      <c r="BJ12" s="17">
        <f>BJ6*Assumptions!$B$35</f>
        <v/>
      </c>
      <c r="BK12" s="17">
        <f>BK6*Assumptions!$B$35</f>
        <v/>
      </c>
      <c r="BL12" s="17">
        <f>BL6*Assumptions!$B$35</f>
        <v/>
      </c>
      <c r="BM12" s="17">
        <f>BM6*Assumptions!$B$35</f>
        <v/>
      </c>
      <c r="BN12" s="17">
        <f>BN6*Assumptions!$B$35</f>
        <v/>
      </c>
      <c r="BO12" s="17">
        <f>BO6*Assumptions!$B$35</f>
        <v/>
      </c>
      <c r="BP12" s="17">
        <f>BP6*Assumptions!$B$35</f>
        <v/>
      </c>
      <c r="BQ12" s="17">
        <f>BQ6*Assumptions!$B$35</f>
        <v/>
      </c>
      <c r="BR12" s="17">
        <f>BR6*Assumptions!$B$35</f>
        <v/>
      </c>
      <c r="BS12" s="17">
        <f>BS6*Assumptions!$B$35</f>
        <v/>
      </c>
      <c r="BT12" s="17">
        <f>BT6*Assumptions!$B$35</f>
        <v/>
      </c>
      <c r="BU12" s="17">
        <f>BU6*Assumptions!$B$35</f>
        <v/>
      </c>
      <c r="BV12" s="17">
        <f>BV6*Assumptions!$B$35</f>
        <v/>
      </c>
      <c r="BW12" s="17">
        <f>BW6*Assumptions!$B$35</f>
        <v/>
      </c>
    </row>
    <row r="14">
      <c r="A14" s="1" t="inlineStr">
        <is>
          <t>Mepco Reserve Account (proxy: IAA outstanding × 1.0)</t>
        </is>
      </c>
      <c r="D14" s="103">
        <f>D10</f>
        <v/>
      </c>
      <c r="E14" s="103">
        <f>E10</f>
        <v/>
      </c>
      <c r="F14" s="103">
        <f>F10</f>
        <v/>
      </c>
      <c r="G14" s="103">
        <f>G10</f>
        <v/>
      </c>
      <c r="H14" s="103">
        <f>H10</f>
        <v/>
      </c>
      <c r="I14" s="103">
        <f>I10</f>
        <v/>
      </c>
      <c r="J14" s="103">
        <f>J10</f>
        <v/>
      </c>
      <c r="K14" s="103">
        <f>K10</f>
        <v/>
      </c>
      <c r="L14" s="103">
        <f>L10</f>
        <v/>
      </c>
      <c r="M14" s="103">
        <f>M10</f>
        <v/>
      </c>
      <c r="N14" s="103">
        <f>N10</f>
        <v/>
      </c>
      <c r="O14" s="103">
        <f>O10</f>
        <v/>
      </c>
      <c r="P14" s="103">
        <f>P10</f>
        <v/>
      </c>
      <c r="Q14" s="103">
        <f>Q10</f>
        <v/>
      </c>
      <c r="R14" s="103">
        <f>R10</f>
        <v/>
      </c>
      <c r="S14" s="103">
        <f>S10</f>
        <v/>
      </c>
      <c r="T14" s="103">
        <f>T10</f>
        <v/>
      </c>
      <c r="U14" s="103">
        <f>U10</f>
        <v/>
      </c>
      <c r="V14" s="103">
        <f>V10</f>
        <v/>
      </c>
      <c r="W14" s="103">
        <f>W10</f>
        <v/>
      </c>
      <c r="X14" s="103">
        <f>X10</f>
        <v/>
      </c>
      <c r="Y14" s="103">
        <f>Y10</f>
        <v/>
      </c>
      <c r="Z14" s="103">
        <f>Z10</f>
        <v/>
      </c>
      <c r="AA14" s="103">
        <f>AA10</f>
        <v/>
      </c>
      <c r="AB14" s="103">
        <f>AB10</f>
        <v/>
      </c>
      <c r="AC14" s="103">
        <f>AC10</f>
        <v/>
      </c>
      <c r="AD14" s="103">
        <f>AD10</f>
        <v/>
      </c>
      <c r="AE14" s="103">
        <f>AE10</f>
        <v/>
      </c>
      <c r="AF14" s="103">
        <f>AF10</f>
        <v/>
      </c>
      <c r="AG14" s="103">
        <f>AG10</f>
        <v/>
      </c>
      <c r="AH14" s="103">
        <f>AH10</f>
        <v/>
      </c>
      <c r="AI14" s="103">
        <f>AI10</f>
        <v/>
      </c>
      <c r="AJ14" s="103">
        <f>AJ10</f>
        <v/>
      </c>
      <c r="AK14" s="103">
        <f>AK10</f>
        <v/>
      </c>
      <c r="AL14" s="103">
        <f>AL10</f>
        <v/>
      </c>
      <c r="AM14" s="103">
        <f>AM10</f>
        <v/>
      </c>
      <c r="AN14" s="103">
        <f>AN10</f>
        <v/>
      </c>
      <c r="AO14" s="103">
        <f>AO10</f>
        <v/>
      </c>
      <c r="AP14" s="103">
        <f>AP10</f>
        <v/>
      </c>
      <c r="AQ14" s="103">
        <f>AQ10</f>
        <v/>
      </c>
      <c r="AR14" s="103">
        <f>AR10</f>
        <v/>
      </c>
      <c r="AS14" s="103">
        <f>AS10</f>
        <v/>
      </c>
      <c r="AT14" s="103">
        <f>AT10</f>
        <v/>
      </c>
      <c r="AU14" s="103">
        <f>AU10</f>
        <v/>
      </c>
      <c r="AV14" s="103">
        <f>AV10</f>
        <v/>
      </c>
      <c r="AW14" s="103">
        <f>AW10</f>
        <v/>
      </c>
      <c r="AX14" s="103">
        <f>AX10</f>
        <v/>
      </c>
      <c r="AY14" s="103">
        <f>AY10</f>
        <v/>
      </c>
      <c r="AZ14" s="103">
        <f>AZ10</f>
        <v/>
      </c>
      <c r="BA14" s="103">
        <f>BA10</f>
        <v/>
      </c>
      <c r="BB14" s="103">
        <f>BB10</f>
        <v/>
      </c>
      <c r="BC14" s="103">
        <f>BC10</f>
        <v/>
      </c>
      <c r="BD14" s="103">
        <f>BD10</f>
        <v/>
      </c>
      <c r="BE14" s="103">
        <f>BE10</f>
        <v/>
      </c>
      <c r="BF14" s="103">
        <f>BF10</f>
        <v/>
      </c>
      <c r="BG14" s="103">
        <f>BG10</f>
        <v/>
      </c>
      <c r="BH14" s="103">
        <f>BH10</f>
        <v/>
      </c>
      <c r="BI14" s="103">
        <f>BI10</f>
        <v/>
      </c>
      <c r="BJ14" s="103">
        <f>BJ10</f>
        <v/>
      </c>
      <c r="BK14" s="103">
        <f>BK10</f>
        <v/>
      </c>
      <c r="BL14" s="103">
        <f>BL10</f>
        <v/>
      </c>
      <c r="BM14" s="103">
        <f>BM10</f>
        <v/>
      </c>
      <c r="BN14" s="103">
        <f>BN10</f>
        <v/>
      </c>
      <c r="BO14" s="103">
        <f>BO10</f>
        <v/>
      </c>
      <c r="BP14" s="103">
        <f>BP10</f>
        <v/>
      </c>
      <c r="BQ14" s="103">
        <f>BQ10</f>
        <v/>
      </c>
      <c r="BR14" s="103">
        <f>BR10</f>
        <v/>
      </c>
      <c r="BS14" s="103">
        <f>BS10</f>
        <v/>
      </c>
      <c r="BT14" s="103">
        <f>BT10</f>
        <v/>
      </c>
      <c r="BU14" s="103">
        <f>BU10</f>
        <v/>
      </c>
      <c r="BV14" s="103">
        <f>BV10</f>
        <v/>
      </c>
      <c r="BW14" s="103">
        <f>BW10</f>
        <v/>
      </c>
    </row>
    <row r="16">
      <c r="A16" s="1" t="inlineStr">
        <is>
          <t>TIE-OUT: Mepco Reserve at Sep-25 (Q3 actual = $105.2M)</t>
        </is>
      </c>
      <c r="B16" s="28">
        <f>L10</f>
        <v/>
      </c>
      <c r="D16" s="5" t="inlineStr">
        <is>
          <t>Compare to BRIEF.json#financials.ltm_q3_2025.mepco_reserve_balance = $105,161,359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/>
  </sheetPr>
  <dimension ref="A1:CD21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0" customWidth="1" style="50" min="1" max="1"/>
    <col width="8" customWidth="1" style="50" min="2" max="2"/>
    <col width="11" customWidth="1" style="50" min="4" max="75"/>
  </cols>
  <sheetData>
    <row r="1" ht="24" customHeight="1" s="50">
      <c r="A1" s="95" t="inlineStr">
        <is>
          <t>Marketing Budget — Channel Allocation</t>
        </is>
      </c>
    </row>
    <row r="2">
      <c r="A2" s="5" t="inlineStr">
        <is>
          <t>Ad spend by channel. V51 simplified vs V50's leads→contracts attribution funnel.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Total annual marketing ($M target)</t>
        </is>
      </c>
      <c r="BY5" s="32" t="n">
        <v>9</v>
      </c>
      <c r="BZ5" s="32" t="n">
        <v>14</v>
      </c>
      <c r="CA5" s="32" t="n">
        <v>18</v>
      </c>
      <c r="CB5" s="32" t="n">
        <v>22</v>
      </c>
      <c r="CC5" s="32" t="n">
        <v>26</v>
      </c>
      <c r="CD5" s="32" t="n">
        <v>30</v>
      </c>
    </row>
    <row r="6">
      <c r="A6" s="1" t="inlineStr">
        <is>
          <t>Total monthly spend</t>
        </is>
      </c>
      <c r="D6" s="17" t="n">
        <v>750000</v>
      </c>
      <c r="E6" s="17" t="n">
        <v>750000</v>
      </c>
      <c r="F6" s="17" t="n">
        <v>750000</v>
      </c>
      <c r="G6" s="17" t="n">
        <v>750000</v>
      </c>
      <c r="H6" s="17" t="n">
        <v>750000</v>
      </c>
      <c r="I6" s="17" t="n">
        <v>750000</v>
      </c>
      <c r="J6" s="17" t="n">
        <v>750000</v>
      </c>
      <c r="K6" s="17" t="n">
        <v>750000</v>
      </c>
      <c r="L6" s="17" t="n">
        <v>750000</v>
      </c>
      <c r="M6" s="17" t="n">
        <v>750000</v>
      </c>
      <c r="N6" s="17" t="n">
        <v>750000</v>
      </c>
      <c r="O6" s="17" t="n">
        <v>750000</v>
      </c>
      <c r="P6" s="17" t="n">
        <v>1166666.666666667</v>
      </c>
      <c r="Q6" s="17" t="n">
        <v>1166666.666666667</v>
      </c>
      <c r="R6" s="17" t="n">
        <v>1166666.666666667</v>
      </c>
      <c r="S6" s="17" t="n">
        <v>1166666.666666667</v>
      </c>
      <c r="T6" s="17" t="n">
        <v>1166666.666666667</v>
      </c>
      <c r="U6" s="17" t="n">
        <v>1166666.666666667</v>
      </c>
      <c r="V6" s="17" t="n">
        <v>1166666.666666667</v>
      </c>
      <c r="W6" s="17" t="n">
        <v>1166666.666666667</v>
      </c>
      <c r="X6" s="17" t="n">
        <v>1166666.666666667</v>
      </c>
      <c r="Y6" s="17" t="n">
        <v>1166666.666666667</v>
      </c>
      <c r="Z6" s="17" t="n">
        <v>1166666.666666667</v>
      </c>
      <c r="AA6" s="17" t="n">
        <v>1166666.666666667</v>
      </c>
      <c r="AB6" s="17" t="n">
        <v>1500000</v>
      </c>
      <c r="AC6" s="17" t="n">
        <v>1500000</v>
      </c>
      <c r="AD6" s="17" t="n">
        <v>1500000</v>
      </c>
      <c r="AE6" s="17" t="n">
        <v>1500000</v>
      </c>
      <c r="AF6" s="17" t="n">
        <v>1500000</v>
      </c>
      <c r="AG6" s="17" t="n">
        <v>1500000</v>
      </c>
      <c r="AH6" s="17" t="n">
        <v>1500000</v>
      </c>
      <c r="AI6" s="17" t="n">
        <v>1500000</v>
      </c>
      <c r="AJ6" s="17" t="n">
        <v>1500000</v>
      </c>
      <c r="AK6" s="17" t="n">
        <v>1500000</v>
      </c>
      <c r="AL6" s="17" t="n">
        <v>1500000</v>
      </c>
      <c r="AM6" s="17" t="n">
        <v>1500000</v>
      </c>
      <c r="AN6" s="17" t="n">
        <v>1833333.333333333</v>
      </c>
      <c r="AO6" s="17" t="n">
        <v>1833333.333333333</v>
      </c>
      <c r="AP6" s="17" t="n">
        <v>1833333.333333333</v>
      </c>
      <c r="AQ6" s="17" t="n">
        <v>1833333.333333333</v>
      </c>
      <c r="AR6" s="17" t="n">
        <v>1833333.333333333</v>
      </c>
      <c r="AS6" s="17" t="n">
        <v>1833333.333333333</v>
      </c>
      <c r="AT6" s="17" t="n">
        <v>1833333.333333333</v>
      </c>
      <c r="AU6" s="17" t="n">
        <v>1833333.333333333</v>
      </c>
      <c r="AV6" s="17" t="n">
        <v>1833333.333333333</v>
      </c>
      <c r="AW6" s="17" t="n">
        <v>1833333.333333333</v>
      </c>
      <c r="AX6" s="17" t="n">
        <v>1833333.333333333</v>
      </c>
      <c r="AY6" s="17" t="n">
        <v>1833333.333333333</v>
      </c>
      <c r="AZ6" s="17" t="n">
        <v>2166666.666666667</v>
      </c>
      <c r="BA6" s="17" t="n">
        <v>2166666.666666667</v>
      </c>
      <c r="BB6" s="17" t="n">
        <v>2166666.666666667</v>
      </c>
      <c r="BC6" s="17" t="n">
        <v>2166666.666666667</v>
      </c>
      <c r="BD6" s="17" t="n">
        <v>2166666.666666667</v>
      </c>
      <c r="BE6" s="17" t="n">
        <v>2166666.666666667</v>
      </c>
      <c r="BF6" s="17" t="n">
        <v>2166666.666666667</v>
      </c>
      <c r="BG6" s="17" t="n">
        <v>2166666.666666667</v>
      </c>
      <c r="BH6" s="17" t="n">
        <v>2166666.666666667</v>
      </c>
      <c r="BI6" s="17" t="n">
        <v>2166666.666666667</v>
      </c>
      <c r="BJ6" s="17" t="n">
        <v>2166666.666666667</v>
      </c>
      <c r="BK6" s="17" t="n">
        <v>2166666.666666667</v>
      </c>
      <c r="BL6" s="17" t="n">
        <v>2500000</v>
      </c>
      <c r="BM6" s="17" t="n">
        <v>2500000</v>
      </c>
      <c r="BN6" s="17" t="n">
        <v>2500000</v>
      </c>
      <c r="BO6" s="17" t="n">
        <v>2500000</v>
      </c>
      <c r="BP6" s="17" t="n">
        <v>2500000</v>
      </c>
      <c r="BQ6" s="17" t="n">
        <v>2500000</v>
      </c>
      <c r="BR6" s="17" t="n">
        <v>2500000</v>
      </c>
      <c r="BS6" s="17" t="n">
        <v>2500000</v>
      </c>
      <c r="BT6" s="17" t="n">
        <v>2500000</v>
      </c>
      <c r="BU6" s="17" t="n">
        <v>2500000</v>
      </c>
      <c r="BV6" s="17" t="n">
        <v>2500000</v>
      </c>
      <c r="BW6" s="17" t="n">
        <v>2500000</v>
      </c>
    </row>
    <row r="8">
      <c r="A8" t="inlineStr">
        <is>
          <t>Aged Data Feed</t>
        </is>
      </c>
      <c r="B8" s="16" t="n">
        <v>0.05</v>
      </c>
      <c r="D8" s="17">
        <f>D$6*$B8</f>
        <v/>
      </c>
      <c r="E8" s="17">
        <f>E$6*$B8</f>
        <v/>
      </c>
      <c r="F8" s="17">
        <f>F$6*$B8</f>
        <v/>
      </c>
      <c r="G8" s="17">
        <f>G$6*$B8</f>
        <v/>
      </c>
      <c r="H8" s="17">
        <f>H$6*$B8</f>
        <v/>
      </c>
      <c r="I8" s="17">
        <f>I$6*$B8</f>
        <v/>
      </c>
      <c r="J8" s="17">
        <f>J$6*$B8</f>
        <v/>
      </c>
      <c r="K8" s="17">
        <f>K$6*$B8</f>
        <v/>
      </c>
      <c r="L8" s="17">
        <f>L$6*$B8</f>
        <v/>
      </c>
      <c r="M8" s="17">
        <f>M$6*$B8</f>
        <v/>
      </c>
      <c r="N8" s="17">
        <f>N$6*$B8</f>
        <v/>
      </c>
      <c r="O8" s="17">
        <f>O$6*$B8</f>
        <v/>
      </c>
      <c r="P8" s="17">
        <f>P$6*$B8</f>
        <v/>
      </c>
      <c r="Q8" s="17">
        <f>Q$6*$B8</f>
        <v/>
      </c>
      <c r="R8" s="17">
        <f>R$6*$B8</f>
        <v/>
      </c>
      <c r="S8" s="17">
        <f>S$6*$B8</f>
        <v/>
      </c>
      <c r="T8" s="17">
        <f>T$6*$B8</f>
        <v/>
      </c>
      <c r="U8" s="17">
        <f>U$6*$B8</f>
        <v/>
      </c>
      <c r="V8" s="17">
        <f>V$6*$B8</f>
        <v/>
      </c>
      <c r="W8" s="17">
        <f>W$6*$B8</f>
        <v/>
      </c>
      <c r="X8" s="17">
        <f>X$6*$B8</f>
        <v/>
      </c>
      <c r="Y8" s="17">
        <f>Y$6*$B8</f>
        <v/>
      </c>
      <c r="Z8" s="17">
        <f>Z$6*$B8</f>
        <v/>
      </c>
      <c r="AA8" s="17">
        <f>AA$6*$B8</f>
        <v/>
      </c>
      <c r="AB8" s="17">
        <f>AB$6*$B8</f>
        <v/>
      </c>
      <c r="AC8" s="17">
        <f>AC$6*$B8</f>
        <v/>
      </c>
      <c r="AD8" s="17">
        <f>AD$6*$B8</f>
        <v/>
      </c>
      <c r="AE8" s="17">
        <f>AE$6*$B8</f>
        <v/>
      </c>
      <c r="AF8" s="17">
        <f>AF$6*$B8</f>
        <v/>
      </c>
      <c r="AG8" s="17">
        <f>AG$6*$B8</f>
        <v/>
      </c>
      <c r="AH8" s="17">
        <f>AH$6*$B8</f>
        <v/>
      </c>
      <c r="AI8" s="17">
        <f>AI$6*$B8</f>
        <v/>
      </c>
      <c r="AJ8" s="17">
        <f>AJ$6*$B8</f>
        <v/>
      </c>
      <c r="AK8" s="17">
        <f>AK$6*$B8</f>
        <v/>
      </c>
      <c r="AL8" s="17">
        <f>AL$6*$B8</f>
        <v/>
      </c>
      <c r="AM8" s="17">
        <f>AM$6*$B8</f>
        <v/>
      </c>
      <c r="AN8" s="17">
        <f>AN$6*$B8</f>
        <v/>
      </c>
      <c r="AO8" s="17">
        <f>AO$6*$B8</f>
        <v/>
      </c>
      <c r="AP8" s="17">
        <f>AP$6*$B8</f>
        <v/>
      </c>
      <c r="AQ8" s="17">
        <f>AQ$6*$B8</f>
        <v/>
      </c>
      <c r="AR8" s="17">
        <f>AR$6*$B8</f>
        <v/>
      </c>
      <c r="AS8" s="17">
        <f>AS$6*$B8</f>
        <v/>
      </c>
      <c r="AT8" s="17">
        <f>AT$6*$B8</f>
        <v/>
      </c>
      <c r="AU8" s="17">
        <f>AU$6*$B8</f>
        <v/>
      </c>
      <c r="AV8" s="17">
        <f>AV$6*$B8</f>
        <v/>
      </c>
      <c r="AW8" s="17">
        <f>AW$6*$B8</f>
        <v/>
      </c>
      <c r="AX8" s="17">
        <f>AX$6*$B8</f>
        <v/>
      </c>
      <c r="AY8" s="17">
        <f>AY$6*$B8</f>
        <v/>
      </c>
      <c r="AZ8" s="17">
        <f>AZ$6*$B8</f>
        <v/>
      </c>
      <c r="BA8" s="17">
        <f>BA$6*$B8</f>
        <v/>
      </c>
      <c r="BB8" s="17">
        <f>BB$6*$B8</f>
        <v/>
      </c>
      <c r="BC8" s="17">
        <f>BC$6*$B8</f>
        <v/>
      </c>
      <c r="BD8" s="17">
        <f>BD$6*$B8</f>
        <v/>
      </c>
      <c r="BE8" s="17">
        <f>BE$6*$B8</f>
        <v/>
      </c>
      <c r="BF8" s="17">
        <f>BF$6*$B8</f>
        <v/>
      </c>
      <c r="BG8" s="17">
        <f>BG$6*$B8</f>
        <v/>
      </c>
      <c r="BH8" s="17">
        <f>BH$6*$B8</f>
        <v/>
      </c>
      <c r="BI8" s="17">
        <f>BI$6*$B8</f>
        <v/>
      </c>
      <c r="BJ8" s="17">
        <f>BJ$6*$B8</f>
        <v/>
      </c>
      <c r="BK8" s="17">
        <f>BK$6*$B8</f>
        <v/>
      </c>
      <c r="BL8" s="17">
        <f>BL$6*$B8</f>
        <v/>
      </c>
      <c r="BM8" s="17">
        <f>BM$6*$B8</f>
        <v/>
      </c>
      <c r="BN8" s="17">
        <f>BN$6*$B8</f>
        <v/>
      </c>
      <c r="BO8" s="17">
        <f>BO$6*$B8</f>
        <v/>
      </c>
      <c r="BP8" s="17">
        <f>BP$6*$B8</f>
        <v/>
      </c>
      <c r="BQ8" s="17">
        <f>BQ$6*$B8</f>
        <v/>
      </c>
      <c r="BR8" s="17">
        <f>BR$6*$B8</f>
        <v/>
      </c>
      <c r="BS8" s="17">
        <f>BS$6*$B8</f>
        <v/>
      </c>
      <c r="BT8" s="17">
        <f>BT$6*$B8</f>
        <v/>
      </c>
      <c r="BU8" s="17">
        <f>BU$6*$B8</f>
        <v/>
      </c>
      <c r="BV8" s="17">
        <f>BV$6*$B8</f>
        <v/>
      </c>
      <c r="BW8" s="17">
        <f>BW$6*$B8</f>
        <v/>
      </c>
    </row>
    <row r="9">
      <c r="A9" t="inlineStr">
        <is>
          <t>Real-time Data Feed</t>
        </is>
      </c>
      <c r="B9" s="16" t="n">
        <v>0.1</v>
      </c>
      <c r="D9" s="17">
        <f>D$6*$B9</f>
        <v/>
      </c>
      <c r="E9" s="17">
        <f>E$6*$B9</f>
        <v/>
      </c>
      <c r="F9" s="17">
        <f>F$6*$B9</f>
        <v/>
      </c>
      <c r="G9" s="17">
        <f>G$6*$B9</f>
        <v/>
      </c>
      <c r="H9" s="17">
        <f>H$6*$B9</f>
        <v/>
      </c>
      <c r="I9" s="17">
        <f>I$6*$B9</f>
        <v/>
      </c>
      <c r="J9" s="17">
        <f>J$6*$B9</f>
        <v/>
      </c>
      <c r="K9" s="17">
        <f>K$6*$B9</f>
        <v/>
      </c>
      <c r="L9" s="17">
        <f>L$6*$B9</f>
        <v/>
      </c>
      <c r="M9" s="17">
        <f>M$6*$B9</f>
        <v/>
      </c>
      <c r="N9" s="17">
        <f>N$6*$B9</f>
        <v/>
      </c>
      <c r="O9" s="17">
        <f>O$6*$B9</f>
        <v/>
      </c>
      <c r="P9" s="17">
        <f>P$6*$B9</f>
        <v/>
      </c>
      <c r="Q9" s="17">
        <f>Q$6*$B9</f>
        <v/>
      </c>
      <c r="R9" s="17">
        <f>R$6*$B9</f>
        <v/>
      </c>
      <c r="S9" s="17">
        <f>S$6*$B9</f>
        <v/>
      </c>
      <c r="T9" s="17">
        <f>T$6*$B9</f>
        <v/>
      </c>
      <c r="U9" s="17">
        <f>U$6*$B9</f>
        <v/>
      </c>
      <c r="V9" s="17">
        <f>V$6*$B9</f>
        <v/>
      </c>
      <c r="W9" s="17">
        <f>W$6*$B9</f>
        <v/>
      </c>
      <c r="X9" s="17">
        <f>X$6*$B9</f>
        <v/>
      </c>
      <c r="Y9" s="17">
        <f>Y$6*$B9</f>
        <v/>
      </c>
      <c r="Z9" s="17">
        <f>Z$6*$B9</f>
        <v/>
      </c>
      <c r="AA9" s="17">
        <f>AA$6*$B9</f>
        <v/>
      </c>
      <c r="AB9" s="17">
        <f>AB$6*$B9</f>
        <v/>
      </c>
      <c r="AC9" s="17">
        <f>AC$6*$B9</f>
        <v/>
      </c>
      <c r="AD9" s="17">
        <f>AD$6*$B9</f>
        <v/>
      </c>
      <c r="AE9" s="17">
        <f>AE$6*$B9</f>
        <v/>
      </c>
      <c r="AF9" s="17">
        <f>AF$6*$B9</f>
        <v/>
      </c>
      <c r="AG9" s="17">
        <f>AG$6*$B9</f>
        <v/>
      </c>
      <c r="AH9" s="17">
        <f>AH$6*$B9</f>
        <v/>
      </c>
      <c r="AI9" s="17">
        <f>AI$6*$B9</f>
        <v/>
      </c>
      <c r="AJ9" s="17">
        <f>AJ$6*$B9</f>
        <v/>
      </c>
      <c r="AK9" s="17">
        <f>AK$6*$B9</f>
        <v/>
      </c>
      <c r="AL9" s="17">
        <f>AL$6*$B9</f>
        <v/>
      </c>
      <c r="AM9" s="17">
        <f>AM$6*$B9</f>
        <v/>
      </c>
      <c r="AN9" s="17">
        <f>AN$6*$B9</f>
        <v/>
      </c>
      <c r="AO9" s="17">
        <f>AO$6*$B9</f>
        <v/>
      </c>
      <c r="AP9" s="17">
        <f>AP$6*$B9</f>
        <v/>
      </c>
      <c r="AQ9" s="17">
        <f>AQ$6*$B9</f>
        <v/>
      </c>
      <c r="AR9" s="17">
        <f>AR$6*$B9</f>
        <v/>
      </c>
      <c r="AS9" s="17">
        <f>AS$6*$B9</f>
        <v/>
      </c>
      <c r="AT9" s="17">
        <f>AT$6*$B9</f>
        <v/>
      </c>
      <c r="AU9" s="17">
        <f>AU$6*$B9</f>
        <v/>
      </c>
      <c r="AV9" s="17">
        <f>AV$6*$B9</f>
        <v/>
      </c>
      <c r="AW9" s="17">
        <f>AW$6*$B9</f>
        <v/>
      </c>
      <c r="AX9" s="17">
        <f>AX$6*$B9</f>
        <v/>
      </c>
      <c r="AY9" s="17">
        <f>AY$6*$B9</f>
        <v/>
      </c>
      <c r="AZ9" s="17">
        <f>AZ$6*$B9</f>
        <v/>
      </c>
      <c r="BA9" s="17">
        <f>BA$6*$B9</f>
        <v/>
      </c>
      <c r="BB9" s="17">
        <f>BB$6*$B9</f>
        <v/>
      </c>
      <c r="BC9" s="17">
        <f>BC$6*$B9</f>
        <v/>
      </c>
      <c r="BD9" s="17">
        <f>BD$6*$B9</f>
        <v/>
      </c>
      <c r="BE9" s="17">
        <f>BE$6*$B9</f>
        <v/>
      </c>
      <c r="BF9" s="17">
        <f>BF$6*$B9</f>
        <v/>
      </c>
      <c r="BG9" s="17">
        <f>BG$6*$B9</f>
        <v/>
      </c>
      <c r="BH9" s="17">
        <f>BH$6*$B9</f>
        <v/>
      </c>
      <c r="BI9" s="17">
        <f>BI$6*$B9</f>
        <v/>
      </c>
      <c r="BJ9" s="17">
        <f>BJ$6*$B9</f>
        <v/>
      </c>
      <c r="BK9" s="17">
        <f>BK$6*$B9</f>
        <v/>
      </c>
      <c r="BL9" s="17">
        <f>BL$6*$B9</f>
        <v/>
      </c>
      <c r="BM9" s="17">
        <f>BM$6*$B9</f>
        <v/>
      </c>
      <c r="BN9" s="17">
        <f>BN$6*$B9</f>
        <v/>
      </c>
      <c r="BO9" s="17">
        <f>BO$6*$B9</f>
        <v/>
      </c>
      <c r="BP9" s="17">
        <f>BP$6*$B9</f>
        <v/>
      </c>
      <c r="BQ9" s="17">
        <f>BQ$6*$B9</f>
        <v/>
      </c>
      <c r="BR9" s="17">
        <f>BR$6*$B9</f>
        <v/>
      </c>
      <c r="BS9" s="17">
        <f>BS$6*$B9</f>
        <v/>
      </c>
      <c r="BT9" s="17">
        <f>BT$6*$B9</f>
        <v/>
      </c>
      <c r="BU9" s="17">
        <f>BU$6*$B9</f>
        <v/>
      </c>
      <c r="BV9" s="17">
        <f>BV$6*$B9</f>
        <v/>
      </c>
      <c r="BW9" s="17">
        <f>BW$6*$B9</f>
        <v/>
      </c>
    </row>
    <row r="10">
      <c r="A10" t="inlineStr">
        <is>
          <t>Listing Fees</t>
        </is>
      </c>
      <c r="B10" s="16" t="n">
        <v>0.08</v>
      </c>
      <c r="D10" s="17">
        <f>D$6*$B10</f>
        <v/>
      </c>
      <c r="E10" s="17">
        <f>E$6*$B10</f>
        <v/>
      </c>
      <c r="F10" s="17">
        <f>F$6*$B10</f>
        <v/>
      </c>
      <c r="G10" s="17">
        <f>G$6*$B10</f>
        <v/>
      </c>
      <c r="H10" s="17">
        <f>H$6*$B10</f>
        <v/>
      </c>
      <c r="I10" s="17">
        <f>I$6*$B10</f>
        <v/>
      </c>
      <c r="J10" s="17">
        <f>J$6*$B10</f>
        <v/>
      </c>
      <c r="K10" s="17">
        <f>K$6*$B10</f>
        <v/>
      </c>
      <c r="L10" s="17">
        <f>L$6*$B10</f>
        <v/>
      </c>
      <c r="M10" s="17">
        <f>M$6*$B10</f>
        <v/>
      </c>
      <c r="N10" s="17">
        <f>N$6*$B10</f>
        <v/>
      </c>
      <c r="O10" s="17">
        <f>O$6*$B10</f>
        <v/>
      </c>
      <c r="P10" s="17">
        <f>P$6*$B10</f>
        <v/>
      </c>
      <c r="Q10" s="17">
        <f>Q$6*$B10</f>
        <v/>
      </c>
      <c r="R10" s="17">
        <f>R$6*$B10</f>
        <v/>
      </c>
      <c r="S10" s="17">
        <f>S$6*$B10</f>
        <v/>
      </c>
      <c r="T10" s="17">
        <f>T$6*$B10</f>
        <v/>
      </c>
      <c r="U10" s="17">
        <f>U$6*$B10</f>
        <v/>
      </c>
      <c r="V10" s="17">
        <f>V$6*$B10</f>
        <v/>
      </c>
      <c r="W10" s="17">
        <f>W$6*$B10</f>
        <v/>
      </c>
      <c r="X10" s="17">
        <f>X$6*$B10</f>
        <v/>
      </c>
      <c r="Y10" s="17">
        <f>Y$6*$B10</f>
        <v/>
      </c>
      <c r="Z10" s="17">
        <f>Z$6*$B10</f>
        <v/>
      </c>
      <c r="AA10" s="17">
        <f>AA$6*$B10</f>
        <v/>
      </c>
      <c r="AB10" s="17">
        <f>AB$6*$B10</f>
        <v/>
      </c>
      <c r="AC10" s="17">
        <f>AC$6*$B10</f>
        <v/>
      </c>
      <c r="AD10" s="17">
        <f>AD$6*$B10</f>
        <v/>
      </c>
      <c r="AE10" s="17">
        <f>AE$6*$B10</f>
        <v/>
      </c>
      <c r="AF10" s="17">
        <f>AF$6*$B10</f>
        <v/>
      </c>
      <c r="AG10" s="17">
        <f>AG$6*$B10</f>
        <v/>
      </c>
      <c r="AH10" s="17">
        <f>AH$6*$B10</f>
        <v/>
      </c>
      <c r="AI10" s="17">
        <f>AI$6*$B10</f>
        <v/>
      </c>
      <c r="AJ10" s="17">
        <f>AJ$6*$B10</f>
        <v/>
      </c>
      <c r="AK10" s="17">
        <f>AK$6*$B10</f>
        <v/>
      </c>
      <c r="AL10" s="17">
        <f>AL$6*$B10</f>
        <v/>
      </c>
      <c r="AM10" s="17">
        <f>AM$6*$B10</f>
        <v/>
      </c>
      <c r="AN10" s="17">
        <f>AN$6*$B10</f>
        <v/>
      </c>
      <c r="AO10" s="17">
        <f>AO$6*$B10</f>
        <v/>
      </c>
      <c r="AP10" s="17">
        <f>AP$6*$B10</f>
        <v/>
      </c>
      <c r="AQ10" s="17">
        <f>AQ$6*$B10</f>
        <v/>
      </c>
      <c r="AR10" s="17">
        <f>AR$6*$B10</f>
        <v/>
      </c>
      <c r="AS10" s="17">
        <f>AS$6*$B10</f>
        <v/>
      </c>
      <c r="AT10" s="17">
        <f>AT$6*$B10</f>
        <v/>
      </c>
      <c r="AU10" s="17">
        <f>AU$6*$B10</f>
        <v/>
      </c>
      <c r="AV10" s="17">
        <f>AV$6*$B10</f>
        <v/>
      </c>
      <c r="AW10" s="17">
        <f>AW$6*$B10</f>
        <v/>
      </c>
      <c r="AX10" s="17">
        <f>AX$6*$B10</f>
        <v/>
      </c>
      <c r="AY10" s="17">
        <f>AY$6*$B10</f>
        <v/>
      </c>
      <c r="AZ10" s="17">
        <f>AZ$6*$B10</f>
        <v/>
      </c>
      <c r="BA10" s="17">
        <f>BA$6*$B10</f>
        <v/>
      </c>
      <c r="BB10" s="17">
        <f>BB$6*$B10</f>
        <v/>
      </c>
      <c r="BC10" s="17">
        <f>BC$6*$B10</f>
        <v/>
      </c>
      <c r="BD10" s="17">
        <f>BD$6*$B10</f>
        <v/>
      </c>
      <c r="BE10" s="17">
        <f>BE$6*$B10</f>
        <v/>
      </c>
      <c r="BF10" s="17">
        <f>BF$6*$B10</f>
        <v/>
      </c>
      <c r="BG10" s="17">
        <f>BG$6*$B10</f>
        <v/>
      </c>
      <c r="BH10" s="17">
        <f>BH$6*$B10</f>
        <v/>
      </c>
      <c r="BI10" s="17">
        <f>BI$6*$B10</f>
        <v/>
      </c>
      <c r="BJ10" s="17">
        <f>BJ$6*$B10</f>
        <v/>
      </c>
      <c r="BK10" s="17">
        <f>BK$6*$B10</f>
        <v/>
      </c>
      <c r="BL10" s="17">
        <f>BL$6*$B10</f>
        <v/>
      </c>
      <c r="BM10" s="17">
        <f>BM$6*$B10</f>
        <v/>
      </c>
      <c r="BN10" s="17">
        <f>BN$6*$B10</f>
        <v/>
      </c>
      <c r="BO10" s="17">
        <f>BO$6*$B10</f>
        <v/>
      </c>
      <c r="BP10" s="17">
        <f>BP$6*$B10</f>
        <v/>
      </c>
      <c r="BQ10" s="17">
        <f>BQ$6*$B10</f>
        <v/>
      </c>
      <c r="BR10" s="17">
        <f>BR$6*$B10</f>
        <v/>
      </c>
      <c r="BS10" s="17">
        <f>BS$6*$B10</f>
        <v/>
      </c>
      <c r="BT10" s="17">
        <f>BT$6*$B10</f>
        <v/>
      </c>
      <c r="BU10" s="17">
        <f>BU$6*$B10</f>
        <v/>
      </c>
      <c r="BV10" s="17">
        <f>BV$6*$B10</f>
        <v/>
      </c>
      <c r="BW10" s="17">
        <f>BW$6*$B10</f>
        <v/>
      </c>
    </row>
    <row r="11">
      <c r="A11" t="inlineStr">
        <is>
          <t>Mail</t>
        </is>
      </c>
      <c r="B11" s="16" t="n">
        <v>0.1</v>
      </c>
      <c r="D11" s="17">
        <f>D$6*$B11</f>
        <v/>
      </c>
      <c r="E11" s="17">
        <f>E$6*$B11</f>
        <v/>
      </c>
      <c r="F11" s="17">
        <f>F$6*$B11</f>
        <v/>
      </c>
      <c r="G11" s="17">
        <f>G$6*$B11</f>
        <v/>
      </c>
      <c r="H11" s="17">
        <f>H$6*$B11</f>
        <v/>
      </c>
      <c r="I11" s="17">
        <f>I$6*$B11</f>
        <v/>
      </c>
      <c r="J11" s="17">
        <f>J$6*$B11</f>
        <v/>
      </c>
      <c r="K11" s="17">
        <f>K$6*$B11</f>
        <v/>
      </c>
      <c r="L11" s="17">
        <f>L$6*$B11</f>
        <v/>
      </c>
      <c r="M11" s="17">
        <f>M$6*$B11</f>
        <v/>
      </c>
      <c r="N11" s="17">
        <f>N$6*$B11</f>
        <v/>
      </c>
      <c r="O11" s="17">
        <f>O$6*$B11</f>
        <v/>
      </c>
      <c r="P11" s="17">
        <f>P$6*$B11</f>
        <v/>
      </c>
      <c r="Q11" s="17">
        <f>Q$6*$B11</f>
        <v/>
      </c>
      <c r="R11" s="17">
        <f>R$6*$B11</f>
        <v/>
      </c>
      <c r="S11" s="17">
        <f>S$6*$B11</f>
        <v/>
      </c>
      <c r="T11" s="17">
        <f>T$6*$B11</f>
        <v/>
      </c>
      <c r="U11" s="17">
        <f>U$6*$B11</f>
        <v/>
      </c>
      <c r="V11" s="17">
        <f>V$6*$B11</f>
        <v/>
      </c>
      <c r="W11" s="17">
        <f>W$6*$B11</f>
        <v/>
      </c>
      <c r="X11" s="17">
        <f>X$6*$B11</f>
        <v/>
      </c>
      <c r="Y11" s="17">
        <f>Y$6*$B11</f>
        <v/>
      </c>
      <c r="Z11" s="17">
        <f>Z$6*$B11</f>
        <v/>
      </c>
      <c r="AA11" s="17">
        <f>AA$6*$B11</f>
        <v/>
      </c>
      <c r="AB11" s="17">
        <f>AB$6*$B11</f>
        <v/>
      </c>
      <c r="AC11" s="17">
        <f>AC$6*$B11</f>
        <v/>
      </c>
      <c r="AD11" s="17">
        <f>AD$6*$B11</f>
        <v/>
      </c>
      <c r="AE11" s="17">
        <f>AE$6*$B11</f>
        <v/>
      </c>
      <c r="AF11" s="17">
        <f>AF$6*$B11</f>
        <v/>
      </c>
      <c r="AG11" s="17">
        <f>AG$6*$B11</f>
        <v/>
      </c>
      <c r="AH11" s="17">
        <f>AH$6*$B11</f>
        <v/>
      </c>
      <c r="AI11" s="17">
        <f>AI$6*$B11</f>
        <v/>
      </c>
      <c r="AJ11" s="17">
        <f>AJ$6*$B11</f>
        <v/>
      </c>
      <c r="AK11" s="17">
        <f>AK$6*$B11</f>
        <v/>
      </c>
      <c r="AL11" s="17">
        <f>AL$6*$B11</f>
        <v/>
      </c>
      <c r="AM11" s="17">
        <f>AM$6*$B11</f>
        <v/>
      </c>
      <c r="AN11" s="17">
        <f>AN$6*$B11</f>
        <v/>
      </c>
      <c r="AO11" s="17">
        <f>AO$6*$B11</f>
        <v/>
      </c>
      <c r="AP11" s="17">
        <f>AP$6*$B11</f>
        <v/>
      </c>
      <c r="AQ11" s="17">
        <f>AQ$6*$B11</f>
        <v/>
      </c>
      <c r="AR11" s="17">
        <f>AR$6*$B11</f>
        <v/>
      </c>
      <c r="AS11" s="17">
        <f>AS$6*$B11</f>
        <v/>
      </c>
      <c r="AT11" s="17">
        <f>AT$6*$B11</f>
        <v/>
      </c>
      <c r="AU11" s="17">
        <f>AU$6*$B11</f>
        <v/>
      </c>
      <c r="AV11" s="17">
        <f>AV$6*$B11</f>
        <v/>
      </c>
      <c r="AW11" s="17">
        <f>AW$6*$B11</f>
        <v/>
      </c>
      <c r="AX11" s="17">
        <f>AX$6*$B11</f>
        <v/>
      </c>
      <c r="AY11" s="17">
        <f>AY$6*$B11</f>
        <v/>
      </c>
      <c r="AZ11" s="17">
        <f>AZ$6*$B11</f>
        <v/>
      </c>
      <c r="BA11" s="17">
        <f>BA$6*$B11</f>
        <v/>
      </c>
      <c r="BB11" s="17">
        <f>BB$6*$B11</f>
        <v/>
      </c>
      <c r="BC11" s="17">
        <f>BC$6*$B11</f>
        <v/>
      </c>
      <c r="BD11" s="17">
        <f>BD$6*$B11</f>
        <v/>
      </c>
      <c r="BE11" s="17">
        <f>BE$6*$B11</f>
        <v/>
      </c>
      <c r="BF11" s="17">
        <f>BF$6*$B11</f>
        <v/>
      </c>
      <c r="BG11" s="17">
        <f>BG$6*$B11</f>
        <v/>
      </c>
      <c r="BH11" s="17">
        <f>BH$6*$B11</f>
        <v/>
      </c>
      <c r="BI11" s="17">
        <f>BI$6*$B11</f>
        <v/>
      </c>
      <c r="BJ11" s="17">
        <f>BJ$6*$B11</f>
        <v/>
      </c>
      <c r="BK11" s="17">
        <f>BK$6*$B11</f>
        <v/>
      </c>
      <c r="BL11" s="17">
        <f>BL$6*$B11</f>
        <v/>
      </c>
      <c r="BM11" s="17">
        <f>BM$6*$B11</f>
        <v/>
      </c>
      <c r="BN11" s="17">
        <f>BN$6*$B11</f>
        <v/>
      </c>
      <c r="BO11" s="17">
        <f>BO$6*$B11</f>
        <v/>
      </c>
      <c r="BP11" s="17">
        <f>BP$6*$B11</f>
        <v/>
      </c>
      <c r="BQ11" s="17">
        <f>BQ$6*$B11</f>
        <v/>
      </c>
      <c r="BR11" s="17">
        <f>BR$6*$B11</f>
        <v/>
      </c>
      <c r="BS11" s="17">
        <f>BS$6*$B11</f>
        <v/>
      </c>
      <c r="BT11" s="17">
        <f>BT$6*$B11</f>
        <v/>
      </c>
      <c r="BU11" s="17">
        <f>BU$6*$B11</f>
        <v/>
      </c>
      <c r="BV11" s="17">
        <f>BV$6*$B11</f>
        <v/>
      </c>
      <c r="BW11" s="17">
        <f>BW$6*$B11</f>
        <v/>
      </c>
    </row>
    <row r="12">
      <c r="A12" t="inlineStr">
        <is>
          <t>Social Media</t>
        </is>
      </c>
      <c r="B12" s="16" t="n">
        <v>0.2</v>
      </c>
      <c r="D12" s="17">
        <f>D$6*$B12</f>
        <v/>
      </c>
      <c r="E12" s="17">
        <f>E$6*$B12</f>
        <v/>
      </c>
      <c r="F12" s="17">
        <f>F$6*$B12</f>
        <v/>
      </c>
      <c r="G12" s="17">
        <f>G$6*$B12</f>
        <v/>
      </c>
      <c r="H12" s="17">
        <f>H$6*$B12</f>
        <v/>
      </c>
      <c r="I12" s="17">
        <f>I$6*$B12</f>
        <v/>
      </c>
      <c r="J12" s="17">
        <f>J$6*$B12</f>
        <v/>
      </c>
      <c r="K12" s="17">
        <f>K$6*$B12</f>
        <v/>
      </c>
      <c r="L12" s="17">
        <f>L$6*$B12</f>
        <v/>
      </c>
      <c r="M12" s="17">
        <f>M$6*$B12</f>
        <v/>
      </c>
      <c r="N12" s="17">
        <f>N$6*$B12</f>
        <v/>
      </c>
      <c r="O12" s="17">
        <f>O$6*$B12</f>
        <v/>
      </c>
      <c r="P12" s="17">
        <f>P$6*$B12</f>
        <v/>
      </c>
      <c r="Q12" s="17">
        <f>Q$6*$B12</f>
        <v/>
      </c>
      <c r="R12" s="17">
        <f>R$6*$B12</f>
        <v/>
      </c>
      <c r="S12" s="17">
        <f>S$6*$B12</f>
        <v/>
      </c>
      <c r="T12" s="17">
        <f>T$6*$B12</f>
        <v/>
      </c>
      <c r="U12" s="17">
        <f>U$6*$B12</f>
        <v/>
      </c>
      <c r="V12" s="17">
        <f>V$6*$B12</f>
        <v/>
      </c>
      <c r="W12" s="17">
        <f>W$6*$B12</f>
        <v/>
      </c>
      <c r="X12" s="17">
        <f>X$6*$B12</f>
        <v/>
      </c>
      <c r="Y12" s="17">
        <f>Y$6*$B12</f>
        <v/>
      </c>
      <c r="Z12" s="17">
        <f>Z$6*$B12</f>
        <v/>
      </c>
      <c r="AA12" s="17">
        <f>AA$6*$B12</f>
        <v/>
      </c>
      <c r="AB12" s="17">
        <f>AB$6*$B12</f>
        <v/>
      </c>
      <c r="AC12" s="17">
        <f>AC$6*$B12</f>
        <v/>
      </c>
      <c r="AD12" s="17">
        <f>AD$6*$B12</f>
        <v/>
      </c>
      <c r="AE12" s="17">
        <f>AE$6*$B12</f>
        <v/>
      </c>
      <c r="AF12" s="17">
        <f>AF$6*$B12</f>
        <v/>
      </c>
      <c r="AG12" s="17">
        <f>AG$6*$B12</f>
        <v/>
      </c>
      <c r="AH12" s="17">
        <f>AH$6*$B12</f>
        <v/>
      </c>
      <c r="AI12" s="17">
        <f>AI$6*$B12</f>
        <v/>
      </c>
      <c r="AJ12" s="17">
        <f>AJ$6*$B12</f>
        <v/>
      </c>
      <c r="AK12" s="17">
        <f>AK$6*$B12</f>
        <v/>
      </c>
      <c r="AL12" s="17">
        <f>AL$6*$B12</f>
        <v/>
      </c>
      <c r="AM12" s="17">
        <f>AM$6*$B12</f>
        <v/>
      </c>
      <c r="AN12" s="17">
        <f>AN$6*$B12</f>
        <v/>
      </c>
      <c r="AO12" s="17">
        <f>AO$6*$B12</f>
        <v/>
      </c>
      <c r="AP12" s="17">
        <f>AP$6*$B12</f>
        <v/>
      </c>
      <c r="AQ12" s="17">
        <f>AQ$6*$B12</f>
        <v/>
      </c>
      <c r="AR12" s="17">
        <f>AR$6*$B12</f>
        <v/>
      </c>
      <c r="AS12" s="17">
        <f>AS$6*$B12</f>
        <v/>
      </c>
      <c r="AT12" s="17">
        <f>AT$6*$B12</f>
        <v/>
      </c>
      <c r="AU12" s="17">
        <f>AU$6*$B12</f>
        <v/>
      </c>
      <c r="AV12" s="17">
        <f>AV$6*$B12</f>
        <v/>
      </c>
      <c r="AW12" s="17">
        <f>AW$6*$B12</f>
        <v/>
      </c>
      <c r="AX12" s="17">
        <f>AX$6*$B12</f>
        <v/>
      </c>
      <c r="AY12" s="17">
        <f>AY$6*$B12</f>
        <v/>
      </c>
      <c r="AZ12" s="17">
        <f>AZ$6*$B12</f>
        <v/>
      </c>
      <c r="BA12" s="17">
        <f>BA$6*$B12</f>
        <v/>
      </c>
      <c r="BB12" s="17">
        <f>BB$6*$B12</f>
        <v/>
      </c>
      <c r="BC12" s="17">
        <f>BC$6*$B12</f>
        <v/>
      </c>
      <c r="BD12" s="17">
        <f>BD$6*$B12</f>
        <v/>
      </c>
      <c r="BE12" s="17">
        <f>BE$6*$B12</f>
        <v/>
      </c>
      <c r="BF12" s="17">
        <f>BF$6*$B12</f>
        <v/>
      </c>
      <c r="BG12" s="17">
        <f>BG$6*$B12</f>
        <v/>
      </c>
      <c r="BH12" s="17">
        <f>BH$6*$B12</f>
        <v/>
      </c>
      <c r="BI12" s="17">
        <f>BI$6*$B12</f>
        <v/>
      </c>
      <c r="BJ12" s="17">
        <f>BJ$6*$B12</f>
        <v/>
      </c>
      <c r="BK12" s="17">
        <f>BK$6*$B12</f>
        <v/>
      </c>
      <c r="BL12" s="17">
        <f>BL$6*$B12</f>
        <v/>
      </c>
      <c r="BM12" s="17">
        <f>BM$6*$B12</f>
        <v/>
      </c>
      <c r="BN12" s="17">
        <f>BN$6*$B12</f>
        <v/>
      </c>
      <c r="BO12" s="17">
        <f>BO$6*$B12</f>
        <v/>
      </c>
      <c r="BP12" s="17">
        <f>BP$6*$B12</f>
        <v/>
      </c>
      <c r="BQ12" s="17">
        <f>BQ$6*$B12</f>
        <v/>
      </c>
      <c r="BR12" s="17">
        <f>BR$6*$B12</f>
        <v/>
      </c>
      <c r="BS12" s="17">
        <f>BS$6*$B12</f>
        <v/>
      </c>
      <c r="BT12" s="17">
        <f>BT$6*$B12</f>
        <v/>
      </c>
      <c r="BU12" s="17">
        <f>BU$6*$B12</f>
        <v/>
      </c>
      <c r="BV12" s="17">
        <f>BV$6*$B12</f>
        <v/>
      </c>
      <c r="BW12" s="17">
        <f>BW$6*$B12</f>
        <v/>
      </c>
    </row>
    <row r="13">
      <c r="A13" t="inlineStr">
        <is>
          <t>Website Ads</t>
        </is>
      </c>
      <c r="B13" s="16" t="n">
        <v>0.15</v>
      </c>
      <c r="D13" s="17">
        <f>D$6*$B13</f>
        <v/>
      </c>
      <c r="E13" s="17">
        <f>E$6*$B13</f>
        <v/>
      </c>
      <c r="F13" s="17">
        <f>F$6*$B13</f>
        <v/>
      </c>
      <c r="G13" s="17">
        <f>G$6*$B13</f>
        <v/>
      </c>
      <c r="H13" s="17">
        <f>H$6*$B13</f>
        <v/>
      </c>
      <c r="I13" s="17">
        <f>I$6*$B13</f>
        <v/>
      </c>
      <c r="J13" s="17">
        <f>J$6*$B13</f>
        <v/>
      </c>
      <c r="K13" s="17">
        <f>K$6*$B13</f>
        <v/>
      </c>
      <c r="L13" s="17">
        <f>L$6*$B13</f>
        <v/>
      </c>
      <c r="M13" s="17">
        <f>M$6*$B13</f>
        <v/>
      </c>
      <c r="N13" s="17">
        <f>N$6*$B13</f>
        <v/>
      </c>
      <c r="O13" s="17">
        <f>O$6*$B13</f>
        <v/>
      </c>
      <c r="P13" s="17">
        <f>P$6*$B13</f>
        <v/>
      </c>
      <c r="Q13" s="17">
        <f>Q$6*$B13</f>
        <v/>
      </c>
      <c r="R13" s="17">
        <f>R$6*$B13</f>
        <v/>
      </c>
      <c r="S13" s="17">
        <f>S$6*$B13</f>
        <v/>
      </c>
      <c r="T13" s="17">
        <f>T$6*$B13</f>
        <v/>
      </c>
      <c r="U13" s="17">
        <f>U$6*$B13</f>
        <v/>
      </c>
      <c r="V13" s="17">
        <f>V$6*$B13</f>
        <v/>
      </c>
      <c r="W13" s="17">
        <f>W$6*$B13</f>
        <v/>
      </c>
      <c r="X13" s="17">
        <f>X$6*$B13</f>
        <v/>
      </c>
      <c r="Y13" s="17">
        <f>Y$6*$B13</f>
        <v/>
      </c>
      <c r="Z13" s="17">
        <f>Z$6*$B13</f>
        <v/>
      </c>
      <c r="AA13" s="17">
        <f>AA$6*$B13</f>
        <v/>
      </c>
      <c r="AB13" s="17">
        <f>AB$6*$B13</f>
        <v/>
      </c>
      <c r="AC13" s="17">
        <f>AC$6*$B13</f>
        <v/>
      </c>
      <c r="AD13" s="17">
        <f>AD$6*$B13</f>
        <v/>
      </c>
      <c r="AE13" s="17">
        <f>AE$6*$B13</f>
        <v/>
      </c>
      <c r="AF13" s="17">
        <f>AF$6*$B13</f>
        <v/>
      </c>
      <c r="AG13" s="17">
        <f>AG$6*$B13</f>
        <v/>
      </c>
      <c r="AH13" s="17">
        <f>AH$6*$B13</f>
        <v/>
      </c>
      <c r="AI13" s="17">
        <f>AI$6*$B13</f>
        <v/>
      </c>
      <c r="AJ13" s="17">
        <f>AJ$6*$B13</f>
        <v/>
      </c>
      <c r="AK13" s="17">
        <f>AK$6*$B13</f>
        <v/>
      </c>
      <c r="AL13" s="17">
        <f>AL$6*$B13</f>
        <v/>
      </c>
      <c r="AM13" s="17">
        <f>AM$6*$B13</f>
        <v/>
      </c>
      <c r="AN13" s="17">
        <f>AN$6*$B13</f>
        <v/>
      </c>
      <c r="AO13" s="17">
        <f>AO$6*$B13</f>
        <v/>
      </c>
      <c r="AP13" s="17">
        <f>AP$6*$B13</f>
        <v/>
      </c>
      <c r="AQ13" s="17">
        <f>AQ$6*$B13</f>
        <v/>
      </c>
      <c r="AR13" s="17">
        <f>AR$6*$B13</f>
        <v/>
      </c>
      <c r="AS13" s="17">
        <f>AS$6*$B13</f>
        <v/>
      </c>
      <c r="AT13" s="17">
        <f>AT$6*$B13</f>
        <v/>
      </c>
      <c r="AU13" s="17">
        <f>AU$6*$B13</f>
        <v/>
      </c>
      <c r="AV13" s="17">
        <f>AV$6*$B13</f>
        <v/>
      </c>
      <c r="AW13" s="17">
        <f>AW$6*$B13</f>
        <v/>
      </c>
      <c r="AX13" s="17">
        <f>AX$6*$B13</f>
        <v/>
      </c>
      <c r="AY13" s="17">
        <f>AY$6*$B13</f>
        <v/>
      </c>
      <c r="AZ13" s="17">
        <f>AZ$6*$B13</f>
        <v/>
      </c>
      <c r="BA13" s="17">
        <f>BA$6*$B13</f>
        <v/>
      </c>
      <c r="BB13" s="17">
        <f>BB$6*$B13</f>
        <v/>
      </c>
      <c r="BC13" s="17">
        <f>BC$6*$B13</f>
        <v/>
      </c>
      <c r="BD13" s="17">
        <f>BD$6*$B13</f>
        <v/>
      </c>
      <c r="BE13" s="17">
        <f>BE$6*$B13</f>
        <v/>
      </c>
      <c r="BF13" s="17">
        <f>BF$6*$B13</f>
        <v/>
      </c>
      <c r="BG13" s="17">
        <f>BG$6*$B13</f>
        <v/>
      </c>
      <c r="BH13" s="17">
        <f>BH$6*$B13</f>
        <v/>
      </c>
      <c r="BI13" s="17">
        <f>BI$6*$B13</f>
        <v/>
      </c>
      <c r="BJ13" s="17">
        <f>BJ$6*$B13</f>
        <v/>
      </c>
      <c r="BK13" s="17">
        <f>BK$6*$B13</f>
        <v/>
      </c>
      <c r="BL13" s="17">
        <f>BL$6*$B13</f>
        <v/>
      </c>
      <c r="BM13" s="17">
        <f>BM$6*$B13</f>
        <v/>
      </c>
      <c r="BN13" s="17">
        <f>BN$6*$B13</f>
        <v/>
      </c>
      <c r="BO13" s="17">
        <f>BO$6*$B13</f>
        <v/>
      </c>
      <c r="BP13" s="17">
        <f>BP$6*$B13</f>
        <v/>
      </c>
      <c r="BQ13" s="17">
        <f>BQ$6*$B13</f>
        <v/>
      </c>
      <c r="BR13" s="17">
        <f>BR$6*$B13</f>
        <v/>
      </c>
      <c r="BS13" s="17">
        <f>BS$6*$B13</f>
        <v/>
      </c>
      <c r="BT13" s="17">
        <f>BT$6*$B13</f>
        <v/>
      </c>
      <c r="BU13" s="17">
        <f>BU$6*$B13</f>
        <v/>
      </c>
      <c r="BV13" s="17">
        <f>BV$6*$B13</f>
        <v/>
      </c>
      <c r="BW13" s="17">
        <f>BW$6*$B13</f>
        <v/>
      </c>
    </row>
    <row r="14">
      <c r="A14" t="inlineStr">
        <is>
          <t>Website (org)</t>
        </is>
      </c>
      <c r="B14" s="16" t="n">
        <v>0.05</v>
      </c>
      <c r="D14" s="17">
        <f>D$6*$B14</f>
        <v/>
      </c>
      <c r="E14" s="17">
        <f>E$6*$B14</f>
        <v/>
      </c>
      <c r="F14" s="17">
        <f>F$6*$B14</f>
        <v/>
      </c>
      <c r="G14" s="17">
        <f>G$6*$B14</f>
        <v/>
      </c>
      <c r="H14" s="17">
        <f>H$6*$B14</f>
        <v/>
      </c>
      <c r="I14" s="17">
        <f>I$6*$B14</f>
        <v/>
      </c>
      <c r="J14" s="17">
        <f>J$6*$B14</f>
        <v/>
      </c>
      <c r="K14" s="17">
        <f>K$6*$B14</f>
        <v/>
      </c>
      <c r="L14" s="17">
        <f>L$6*$B14</f>
        <v/>
      </c>
      <c r="M14" s="17">
        <f>M$6*$B14</f>
        <v/>
      </c>
      <c r="N14" s="17">
        <f>N$6*$B14</f>
        <v/>
      </c>
      <c r="O14" s="17">
        <f>O$6*$B14</f>
        <v/>
      </c>
      <c r="P14" s="17">
        <f>P$6*$B14</f>
        <v/>
      </c>
      <c r="Q14" s="17">
        <f>Q$6*$B14</f>
        <v/>
      </c>
      <c r="R14" s="17">
        <f>R$6*$B14</f>
        <v/>
      </c>
      <c r="S14" s="17">
        <f>S$6*$B14</f>
        <v/>
      </c>
      <c r="T14" s="17">
        <f>T$6*$B14</f>
        <v/>
      </c>
      <c r="U14" s="17">
        <f>U$6*$B14</f>
        <v/>
      </c>
      <c r="V14" s="17">
        <f>V$6*$B14</f>
        <v/>
      </c>
      <c r="W14" s="17">
        <f>W$6*$B14</f>
        <v/>
      </c>
      <c r="X14" s="17">
        <f>X$6*$B14</f>
        <v/>
      </c>
      <c r="Y14" s="17">
        <f>Y$6*$B14</f>
        <v/>
      </c>
      <c r="Z14" s="17">
        <f>Z$6*$B14</f>
        <v/>
      </c>
      <c r="AA14" s="17">
        <f>AA$6*$B14</f>
        <v/>
      </c>
      <c r="AB14" s="17">
        <f>AB$6*$B14</f>
        <v/>
      </c>
      <c r="AC14" s="17">
        <f>AC$6*$B14</f>
        <v/>
      </c>
      <c r="AD14" s="17">
        <f>AD$6*$B14</f>
        <v/>
      </c>
      <c r="AE14" s="17">
        <f>AE$6*$B14</f>
        <v/>
      </c>
      <c r="AF14" s="17">
        <f>AF$6*$B14</f>
        <v/>
      </c>
      <c r="AG14" s="17">
        <f>AG$6*$B14</f>
        <v/>
      </c>
      <c r="AH14" s="17">
        <f>AH$6*$B14</f>
        <v/>
      </c>
      <c r="AI14" s="17">
        <f>AI$6*$B14</f>
        <v/>
      </c>
      <c r="AJ14" s="17">
        <f>AJ$6*$B14</f>
        <v/>
      </c>
      <c r="AK14" s="17">
        <f>AK$6*$B14</f>
        <v/>
      </c>
      <c r="AL14" s="17">
        <f>AL$6*$B14</f>
        <v/>
      </c>
      <c r="AM14" s="17">
        <f>AM$6*$B14</f>
        <v/>
      </c>
      <c r="AN14" s="17">
        <f>AN$6*$B14</f>
        <v/>
      </c>
      <c r="AO14" s="17">
        <f>AO$6*$B14</f>
        <v/>
      </c>
      <c r="AP14" s="17">
        <f>AP$6*$B14</f>
        <v/>
      </c>
      <c r="AQ14" s="17">
        <f>AQ$6*$B14</f>
        <v/>
      </c>
      <c r="AR14" s="17">
        <f>AR$6*$B14</f>
        <v/>
      </c>
      <c r="AS14" s="17">
        <f>AS$6*$B14</f>
        <v/>
      </c>
      <c r="AT14" s="17">
        <f>AT$6*$B14</f>
        <v/>
      </c>
      <c r="AU14" s="17">
        <f>AU$6*$B14</f>
        <v/>
      </c>
      <c r="AV14" s="17">
        <f>AV$6*$B14</f>
        <v/>
      </c>
      <c r="AW14" s="17">
        <f>AW$6*$B14</f>
        <v/>
      </c>
      <c r="AX14" s="17">
        <f>AX$6*$B14</f>
        <v/>
      </c>
      <c r="AY14" s="17">
        <f>AY$6*$B14</f>
        <v/>
      </c>
      <c r="AZ14" s="17">
        <f>AZ$6*$B14</f>
        <v/>
      </c>
      <c r="BA14" s="17">
        <f>BA$6*$B14</f>
        <v/>
      </c>
      <c r="BB14" s="17">
        <f>BB$6*$B14</f>
        <v/>
      </c>
      <c r="BC14" s="17">
        <f>BC$6*$B14</f>
        <v/>
      </c>
      <c r="BD14" s="17">
        <f>BD$6*$B14</f>
        <v/>
      </c>
      <c r="BE14" s="17">
        <f>BE$6*$B14</f>
        <v/>
      </c>
      <c r="BF14" s="17">
        <f>BF$6*$B14</f>
        <v/>
      </c>
      <c r="BG14" s="17">
        <f>BG$6*$B14</f>
        <v/>
      </c>
      <c r="BH14" s="17">
        <f>BH$6*$B14</f>
        <v/>
      </c>
      <c r="BI14" s="17">
        <f>BI$6*$B14</f>
        <v/>
      </c>
      <c r="BJ14" s="17">
        <f>BJ$6*$B14</f>
        <v/>
      </c>
      <c r="BK14" s="17">
        <f>BK$6*$B14</f>
        <v/>
      </c>
      <c r="BL14" s="17">
        <f>BL$6*$B14</f>
        <v/>
      </c>
      <c r="BM14" s="17">
        <f>BM$6*$B14</f>
        <v/>
      </c>
      <c r="BN14" s="17">
        <f>BN$6*$B14</f>
        <v/>
      </c>
      <c r="BO14" s="17">
        <f>BO$6*$B14</f>
        <v/>
      </c>
      <c r="BP14" s="17">
        <f>BP$6*$B14</f>
        <v/>
      </c>
      <c r="BQ14" s="17">
        <f>BQ$6*$B14</f>
        <v/>
      </c>
      <c r="BR14" s="17">
        <f>BR$6*$B14</f>
        <v/>
      </c>
      <c r="BS14" s="17">
        <f>BS$6*$B14</f>
        <v/>
      </c>
      <c r="BT14" s="17">
        <f>BT$6*$B14</f>
        <v/>
      </c>
      <c r="BU14" s="17">
        <f>BU$6*$B14</f>
        <v/>
      </c>
      <c r="BV14" s="17">
        <f>BV$6*$B14</f>
        <v/>
      </c>
      <c r="BW14" s="17">
        <f>BW$6*$B14</f>
        <v/>
      </c>
    </row>
    <row r="15">
      <c r="A15" t="inlineStr">
        <is>
          <t>TV</t>
        </is>
      </c>
      <c r="B15" s="16" t="n">
        <v>0.15</v>
      </c>
      <c r="D15" s="17">
        <f>D$6*$B15</f>
        <v/>
      </c>
      <c r="E15" s="17">
        <f>E$6*$B15</f>
        <v/>
      </c>
      <c r="F15" s="17">
        <f>F$6*$B15</f>
        <v/>
      </c>
      <c r="G15" s="17">
        <f>G$6*$B15</f>
        <v/>
      </c>
      <c r="H15" s="17">
        <f>H$6*$B15</f>
        <v/>
      </c>
      <c r="I15" s="17">
        <f>I$6*$B15</f>
        <v/>
      </c>
      <c r="J15" s="17">
        <f>J$6*$B15</f>
        <v/>
      </c>
      <c r="K15" s="17">
        <f>K$6*$B15</f>
        <v/>
      </c>
      <c r="L15" s="17">
        <f>L$6*$B15</f>
        <v/>
      </c>
      <c r="M15" s="17">
        <f>M$6*$B15</f>
        <v/>
      </c>
      <c r="N15" s="17">
        <f>N$6*$B15</f>
        <v/>
      </c>
      <c r="O15" s="17">
        <f>O$6*$B15</f>
        <v/>
      </c>
      <c r="P15" s="17">
        <f>P$6*$B15</f>
        <v/>
      </c>
      <c r="Q15" s="17">
        <f>Q$6*$B15</f>
        <v/>
      </c>
      <c r="R15" s="17">
        <f>R$6*$B15</f>
        <v/>
      </c>
      <c r="S15" s="17">
        <f>S$6*$B15</f>
        <v/>
      </c>
      <c r="T15" s="17">
        <f>T$6*$B15</f>
        <v/>
      </c>
      <c r="U15" s="17">
        <f>U$6*$B15</f>
        <v/>
      </c>
      <c r="V15" s="17">
        <f>V$6*$B15</f>
        <v/>
      </c>
      <c r="W15" s="17">
        <f>W$6*$B15</f>
        <v/>
      </c>
      <c r="X15" s="17">
        <f>X$6*$B15</f>
        <v/>
      </c>
      <c r="Y15" s="17">
        <f>Y$6*$B15</f>
        <v/>
      </c>
      <c r="Z15" s="17">
        <f>Z$6*$B15</f>
        <v/>
      </c>
      <c r="AA15" s="17">
        <f>AA$6*$B15</f>
        <v/>
      </c>
      <c r="AB15" s="17">
        <f>AB$6*$B15</f>
        <v/>
      </c>
      <c r="AC15" s="17">
        <f>AC$6*$B15</f>
        <v/>
      </c>
      <c r="AD15" s="17">
        <f>AD$6*$B15</f>
        <v/>
      </c>
      <c r="AE15" s="17">
        <f>AE$6*$B15</f>
        <v/>
      </c>
      <c r="AF15" s="17">
        <f>AF$6*$B15</f>
        <v/>
      </c>
      <c r="AG15" s="17">
        <f>AG$6*$B15</f>
        <v/>
      </c>
      <c r="AH15" s="17">
        <f>AH$6*$B15</f>
        <v/>
      </c>
      <c r="AI15" s="17">
        <f>AI$6*$B15</f>
        <v/>
      </c>
      <c r="AJ15" s="17">
        <f>AJ$6*$B15</f>
        <v/>
      </c>
      <c r="AK15" s="17">
        <f>AK$6*$B15</f>
        <v/>
      </c>
      <c r="AL15" s="17">
        <f>AL$6*$B15</f>
        <v/>
      </c>
      <c r="AM15" s="17">
        <f>AM$6*$B15</f>
        <v/>
      </c>
      <c r="AN15" s="17">
        <f>AN$6*$B15</f>
        <v/>
      </c>
      <c r="AO15" s="17">
        <f>AO$6*$B15</f>
        <v/>
      </c>
      <c r="AP15" s="17">
        <f>AP$6*$B15</f>
        <v/>
      </c>
      <c r="AQ15" s="17">
        <f>AQ$6*$B15</f>
        <v/>
      </c>
      <c r="AR15" s="17">
        <f>AR$6*$B15</f>
        <v/>
      </c>
      <c r="AS15" s="17">
        <f>AS$6*$B15</f>
        <v/>
      </c>
      <c r="AT15" s="17">
        <f>AT$6*$B15</f>
        <v/>
      </c>
      <c r="AU15" s="17">
        <f>AU$6*$B15</f>
        <v/>
      </c>
      <c r="AV15" s="17">
        <f>AV$6*$B15</f>
        <v/>
      </c>
      <c r="AW15" s="17">
        <f>AW$6*$B15</f>
        <v/>
      </c>
      <c r="AX15" s="17">
        <f>AX$6*$B15</f>
        <v/>
      </c>
      <c r="AY15" s="17">
        <f>AY$6*$B15</f>
        <v/>
      </c>
      <c r="AZ15" s="17">
        <f>AZ$6*$B15</f>
        <v/>
      </c>
      <c r="BA15" s="17">
        <f>BA$6*$B15</f>
        <v/>
      </c>
      <c r="BB15" s="17">
        <f>BB$6*$B15</f>
        <v/>
      </c>
      <c r="BC15" s="17">
        <f>BC$6*$B15</f>
        <v/>
      </c>
      <c r="BD15" s="17">
        <f>BD$6*$B15</f>
        <v/>
      </c>
      <c r="BE15" s="17">
        <f>BE$6*$B15</f>
        <v/>
      </c>
      <c r="BF15" s="17">
        <f>BF$6*$B15</f>
        <v/>
      </c>
      <c r="BG15" s="17">
        <f>BG$6*$B15</f>
        <v/>
      </c>
      <c r="BH15" s="17">
        <f>BH$6*$B15</f>
        <v/>
      </c>
      <c r="BI15" s="17">
        <f>BI$6*$B15</f>
        <v/>
      </c>
      <c r="BJ15" s="17">
        <f>BJ$6*$B15</f>
        <v/>
      </c>
      <c r="BK15" s="17">
        <f>BK$6*$B15</f>
        <v/>
      </c>
      <c r="BL15" s="17">
        <f>BL$6*$B15</f>
        <v/>
      </c>
      <c r="BM15" s="17">
        <f>BM$6*$B15</f>
        <v/>
      </c>
      <c r="BN15" s="17">
        <f>BN$6*$B15</f>
        <v/>
      </c>
      <c r="BO15" s="17">
        <f>BO$6*$B15</f>
        <v/>
      </c>
      <c r="BP15" s="17">
        <f>BP$6*$B15</f>
        <v/>
      </c>
      <c r="BQ15" s="17">
        <f>BQ$6*$B15</f>
        <v/>
      </c>
      <c r="BR15" s="17">
        <f>BR$6*$B15</f>
        <v/>
      </c>
      <c r="BS15" s="17">
        <f>BS$6*$B15</f>
        <v/>
      </c>
      <c r="BT15" s="17">
        <f>BT$6*$B15</f>
        <v/>
      </c>
      <c r="BU15" s="17">
        <f>BU$6*$B15</f>
        <v/>
      </c>
      <c r="BV15" s="17">
        <f>BV$6*$B15</f>
        <v/>
      </c>
      <c r="BW15" s="17">
        <f>BW$6*$B15</f>
        <v/>
      </c>
    </row>
    <row r="16">
      <c r="A16" t="inlineStr">
        <is>
          <t>Radio</t>
        </is>
      </c>
      <c r="B16" s="16" t="n">
        <v>0.05</v>
      </c>
      <c r="D16" s="17">
        <f>D$6*$B16</f>
        <v/>
      </c>
      <c r="E16" s="17">
        <f>E$6*$B16</f>
        <v/>
      </c>
      <c r="F16" s="17">
        <f>F$6*$B16</f>
        <v/>
      </c>
      <c r="G16" s="17">
        <f>G$6*$B16</f>
        <v/>
      </c>
      <c r="H16" s="17">
        <f>H$6*$B16</f>
        <v/>
      </c>
      <c r="I16" s="17">
        <f>I$6*$B16</f>
        <v/>
      </c>
      <c r="J16" s="17">
        <f>J$6*$B16</f>
        <v/>
      </c>
      <c r="K16" s="17">
        <f>K$6*$B16</f>
        <v/>
      </c>
      <c r="L16" s="17">
        <f>L$6*$B16</f>
        <v/>
      </c>
      <c r="M16" s="17">
        <f>M$6*$B16</f>
        <v/>
      </c>
      <c r="N16" s="17">
        <f>N$6*$B16</f>
        <v/>
      </c>
      <c r="O16" s="17">
        <f>O$6*$B16</f>
        <v/>
      </c>
      <c r="P16" s="17">
        <f>P$6*$B16</f>
        <v/>
      </c>
      <c r="Q16" s="17">
        <f>Q$6*$B16</f>
        <v/>
      </c>
      <c r="R16" s="17">
        <f>R$6*$B16</f>
        <v/>
      </c>
      <c r="S16" s="17">
        <f>S$6*$B16</f>
        <v/>
      </c>
      <c r="T16" s="17">
        <f>T$6*$B16</f>
        <v/>
      </c>
      <c r="U16" s="17">
        <f>U$6*$B16</f>
        <v/>
      </c>
      <c r="V16" s="17">
        <f>V$6*$B16</f>
        <v/>
      </c>
      <c r="W16" s="17">
        <f>W$6*$B16</f>
        <v/>
      </c>
      <c r="X16" s="17">
        <f>X$6*$B16</f>
        <v/>
      </c>
      <c r="Y16" s="17">
        <f>Y$6*$B16</f>
        <v/>
      </c>
      <c r="Z16" s="17">
        <f>Z$6*$B16</f>
        <v/>
      </c>
      <c r="AA16" s="17">
        <f>AA$6*$B16</f>
        <v/>
      </c>
      <c r="AB16" s="17">
        <f>AB$6*$B16</f>
        <v/>
      </c>
      <c r="AC16" s="17">
        <f>AC$6*$B16</f>
        <v/>
      </c>
      <c r="AD16" s="17">
        <f>AD$6*$B16</f>
        <v/>
      </c>
      <c r="AE16" s="17">
        <f>AE$6*$B16</f>
        <v/>
      </c>
      <c r="AF16" s="17">
        <f>AF$6*$B16</f>
        <v/>
      </c>
      <c r="AG16" s="17">
        <f>AG$6*$B16</f>
        <v/>
      </c>
      <c r="AH16" s="17">
        <f>AH$6*$B16</f>
        <v/>
      </c>
      <c r="AI16" s="17">
        <f>AI$6*$B16</f>
        <v/>
      </c>
      <c r="AJ16" s="17">
        <f>AJ$6*$B16</f>
        <v/>
      </c>
      <c r="AK16" s="17">
        <f>AK$6*$B16</f>
        <v/>
      </c>
      <c r="AL16" s="17">
        <f>AL$6*$B16</f>
        <v/>
      </c>
      <c r="AM16" s="17">
        <f>AM$6*$B16</f>
        <v/>
      </c>
      <c r="AN16" s="17">
        <f>AN$6*$B16</f>
        <v/>
      </c>
      <c r="AO16" s="17">
        <f>AO$6*$B16</f>
        <v/>
      </c>
      <c r="AP16" s="17">
        <f>AP$6*$B16</f>
        <v/>
      </c>
      <c r="AQ16" s="17">
        <f>AQ$6*$B16</f>
        <v/>
      </c>
      <c r="AR16" s="17">
        <f>AR$6*$B16</f>
        <v/>
      </c>
      <c r="AS16" s="17">
        <f>AS$6*$B16</f>
        <v/>
      </c>
      <c r="AT16" s="17">
        <f>AT$6*$B16</f>
        <v/>
      </c>
      <c r="AU16" s="17">
        <f>AU$6*$B16</f>
        <v/>
      </c>
      <c r="AV16" s="17">
        <f>AV$6*$B16</f>
        <v/>
      </c>
      <c r="AW16" s="17">
        <f>AW$6*$B16</f>
        <v/>
      </c>
      <c r="AX16" s="17">
        <f>AX$6*$B16</f>
        <v/>
      </c>
      <c r="AY16" s="17">
        <f>AY$6*$B16</f>
        <v/>
      </c>
      <c r="AZ16" s="17">
        <f>AZ$6*$B16</f>
        <v/>
      </c>
      <c r="BA16" s="17">
        <f>BA$6*$B16</f>
        <v/>
      </c>
      <c r="BB16" s="17">
        <f>BB$6*$B16</f>
        <v/>
      </c>
      <c r="BC16" s="17">
        <f>BC$6*$B16</f>
        <v/>
      </c>
      <c r="BD16" s="17">
        <f>BD$6*$B16</f>
        <v/>
      </c>
      <c r="BE16" s="17">
        <f>BE$6*$B16</f>
        <v/>
      </c>
      <c r="BF16" s="17">
        <f>BF$6*$B16</f>
        <v/>
      </c>
      <c r="BG16" s="17">
        <f>BG$6*$B16</f>
        <v/>
      </c>
      <c r="BH16" s="17">
        <f>BH$6*$B16</f>
        <v/>
      </c>
      <c r="BI16" s="17">
        <f>BI$6*$B16</f>
        <v/>
      </c>
      <c r="BJ16" s="17">
        <f>BJ$6*$B16</f>
        <v/>
      </c>
      <c r="BK16" s="17">
        <f>BK$6*$B16</f>
        <v/>
      </c>
      <c r="BL16" s="17">
        <f>BL$6*$B16</f>
        <v/>
      </c>
      <c r="BM16" s="17">
        <f>BM$6*$B16</f>
        <v/>
      </c>
      <c r="BN16" s="17">
        <f>BN$6*$B16</f>
        <v/>
      </c>
      <c r="BO16" s="17">
        <f>BO$6*$B16</f>
        <v/>
      </c>
      <c r="BP16" s="17">
        <f>BP$6*$B16</f>
        <v/>
      </c>
      <c r="BQ16" s="17">
        <f>BQ$6*$B16</f>
        <v/>
      </c>
      <c r="BR16" s="17">
        <f>BR$6*$B16</f>
        <v/>
      </c>
      <c r="BS16" s="17">
        <f>BS$6*$B16</f>
        <v/>
      </c>
      <c r="BT16" s="17">
        <f>BT$6*$B16</f>
        <v/>
      </c>
      <c r="BU16" s="17">
        <f>BU$6*$B16</f>
        <v/>
      </c>
      <c r="BV16" s="17">
        <f>BV$6*$B16</f>
        <v/>
      </c>
      <c r="BW16" s="17">
        <f>BW$6*$B16</f>
        <v/>
      </c>
    </row>
    <row r="17">
      <c r="A17" t="inlineStr">
        <is>
          <t>Endorsements</t>
        </is>
      </c>
      <c r="B17" s="16" t="n">
        <v>0.05</v>
      </c>
      <c r="D17" s="17">
        <f>D$6*$B17</f>
        <v/>
      </c>
      <c r="E17" s="17">
        <f>E$6*$B17</f>
        <v/>
      </c>
      <c r="F17" s="17">
        <f>F$6*$B17</f>
        <v/>
      </c>
      <c r="G17" s="17">
        <f>G$6*$B17</f>
        <v/>
      </c>
      <c r="H17" s="17">
        <f>H$6*$B17</f>
        <v/>
      </c>
      <c r="I17" s="17">
        <f>I$6*$B17</f>
        <v/>
      </c>
      <c r="J17" s="17">
        <f>J$6*$B17</f>
        <v/>
      </c>
      <c r="K17" s="17">
        <f>K$6*$B17</f>
        <v/>
      </c>
      <c r="L17" s="17">
        <f>L$6*$B17</f>
        <v/>
      </c>
      <c r="M17" s="17">
        <f>M$6*$B17</f>
        <v/>
      </c>
      <c r="N17" s="17">
        <f>N$6*$B17</f>
        <v/>
      </c>
      <c r="O17" s="17">
        <f>O$6*$B17</f>
        <v/>
      </c>
      <c r="P17" s="17">
        <f>P$6*$B17</f>
        <v/>
      </c>
      <c r="Q17" s="17">
        <f>Q$6*$B17</f>
        <v/>
      </c>
      <c r="R17" s="17">
        <f>R$6*$B17</f>
        <v/>
      </c>
      <c r="S17" s="17">
        <f>S$6*$B17</f>
        <v/>
      </c>
      <c r="T17" s="17">
        <f>T$6*$B17</f>
        <v/>
      </c>
      <c r="U17" s="17">
        <f>U$6*$B17</f>
        <v/>
      </c>
      <c r="V17" s="17">
        <f>V$6*$B17</f>
        <v/>
      </c>
      <c r="W17" s="17">
        <f>W$6*$B17</f>
        <v/>
      </c>
      <c r="X17" s="17">
        <f>X$6*$B17</f>
        <v/>
      </c>
      <c r="Y17" s="17">
        <f>Y$6*$B17</f>
        <v/>
      </c>
      <c r="Z17" s="17">
        <f>Z$6*$B17</f>
        <v/>
      </c>
      <c r="AA17" s="17">
        <f>AA$6*$B17</f>
        <v/>
      </c>
      <c r="AB17" s="17">
        <f>AB$6*$B17</f>
        <v/>
      </c>
      <c r="AC17" s="17">
        <f>AC$6*$B17</f>
        <v/>
      </c>
      <c r="AD17" s="17">
        <f>AD$6*$B17</f>
        <v/>
      </c>
      <c r="AE17" s="17">
        <f>AE$6*$B17</f>
        <v/>
      </c>
      <c r="AF17" s="17">
        <f>AF$6*$B17</f>
        <v/>
      </c>
      <c r="AG17" s="17">
        <f>AG$6*$B17</f>
        <v/>
      </c>
      <c r="AH17" s="17">
        <f>AH$6*$B17</f>
        <v/>
      </c>
      <c r="AI17" s="17">
        <f>AI$6*$B17</f>
        <v/>
      </c>
      <c r="AJ17" s="17">
        <f>AJ$6*$B17</f>
        <v/>
      </c>
      <c r="AK17" s="17">
        <f>AK$6*$B17</f>
        <v/>
      </c>
      <c r="AL17" s="17">
        <f>AL$6*$B17</f>
        <v/>
      </c>
      <c r="AM17" s="17">
        <f>AM$6*$B17</f>
        <v/>
      </c>
      <c r="AN17" s="17">
        <f>AN$6*$B17</f>
        <v/>
      </c>
      <c r="AO17" s="17">
        <f>AO$6*$B17</f>
        <v/>
      </c>
      <c r="AP17" s="17">
        <f>AP$6*$B17</f>
        <v/>
      </c>
      <c r="AQ17" s="17">
        <f>AQ$6*$B17</f>
        <v/>
      </c>
      <c r="AR17" s="17">
        <f>AR$6*$B17</f>
        <v/>
      </c>
      <c r="AS17" s="17">
        <f>AS$6*$B17</f>
        <v/>
      </c>
      <c r="AT17" s="17">
        <f>AT$6*$B17</f>
        <v/>
      </c>
      <c r="AU17" s="17">
        <f>AU$6*$B17</f>
        <v/>
      </c>
      <c r="AV17" s="17">
        <f>AV$6*$B17</f>
        <v/>
      </c>
      <c r="AW17" s="17">
        <f>AW$6*$B17</f>
        <v/>
      </c>
      <c r="AX17" s="17">
        <f>AX$6*$B17</f>
        <v/>
      </c>
      <c r="AY17" s="17">
        <f>AY$6*$B17</f>
        <v/>
      </c>
      <c r="AZ17" s="17">
        <f>AZ$6*$B17</f>
        <v/>
      </c>
      <c r="BA17" s="17">
        <f>BA$6*$B17</f>
        <v/>
      </c>
      <c r="BB17" s="17">
        <f>BB$6*$B17</f>
        <v/>
      </c>
      <c r="BC17" s="17">
        <f>BC$6*$B17</f>
        <v/>
      </c>
      <c r="BD17" s="17">
        <f>BD$6*$B17</f>
        <v/>
      </c>
      <c r="BE17" s="17">
        <f>BE$6*$B17</f>
        <v/>
      </c>
      <c r="BF17" s="17">
        <f>BF$6*$B17</f>
        <v/>
      </c>
      <c r="BG17" s="17">
        <f>BG$6*$B17</f>
        <v/>
      </c>
      <c r="BH17" s="17">
        <f>BH$6*$B17</f>
        <v/>
      </c>
      <c r="BI17" s="17">
        <f>BI$6*$B17</f>
        <v/>
      </c>
      <c r="BJ17" s="17">
        <f>BJ$6*$B17</f>
        <v/>
      </c>
      <c r="BK17" s="17">
        <f>BK$6*$B17</f>
        <v/>
      </c>
      <c r="BL17" s="17">
        <f>BL$6*$B17</f>
        <v/>
      </c>
      <c r="BM17" s="17">
        <f>BM$6*$B17</f>
        <v/>
      </c>
      <c r="BN17" s="17">
        <f>BN$6*$B17</f>
        <v/>
      </c>
      <c r="BO17" s="17">
        <f>BO$6*$B17</f>
        <v/>
      </c>
      <c r="BP17" s="17">
        <f>BP$6*$B17</f>
        <v/>
      </c>
      <c r="BQ17" s="17">
        <f>BQ$6*$B17</f>
        <v/>
      </c>
      <c r="BR17" s="17">
        <f>BR$6*$B17</f>
        <v/>
      </c>
      <c r="BS17" s="17">
        <f>BS$6*$B17</f>
        <v/>
      </c>
      <c r="BT17" s="17">
        <f>BT$6*$B17</f>
        <v/>
      </c>
      <c r="BU17" s="17">
        <f>BU$6*$B17</f>
        <v/>
      </c>
      <c r="BV17" s="17">
        <f>BV$6*$B17</f>
        <v/>
      </c>
      <c r="BW17" s="17">
        <f>BW$6*$B17</f>
        <v/>
      </c>
    </row>
    <row r="18">
      <c r="A18" t="inlineStr">
        <is>
          <t>Email</t>
        </is>
      </c>
      <c r="B18" s="16" t="n">
        <v>0.01</v>
      </c>
      <c r="D18" s="17">
        <f>D$6*$B18</f>
        <v/>
      </c>
      <c r="E18" s="17">
        <f>E$6*$B18</f>
        <v/>
      </c>
      <c r="F18" s="17">
        <f>F$6*$B18</f>
        <v/>
      </c>
      <c r="G18" s="17">
        <f>G$6*$B18</f>
        <v/>
      </c>
      <c r="H18" s="17">
        <f>H$6*$B18</f>
        <v/>
      </c>
      <c r="I18" s="17">
        <f>I$6*$B18</f>
        <v/>
      </c>
      <c r="J18" s="17">
        <f>J$6*$B18</f>
        <v/>
      </c>
      <c r="K18" s="17">
        <f>K$6*$B18</f>
        <v/>
      </c>
      <c r="L18" s="17">
        <f>L$6*$B18</f>
        <v/>
      </c>
      <c r="M18" s="17">
        <f>M$6*$B18</f>
        <v/>
      </c>
      <c r="N18" s="17">
        <f>N$6*$B18</f>
        <v/>
      </c>
      <c r="O18" s="17">
        <f>O$6*$B18</f>
        <v/>
      </c>
      <c r="P18" s="17">
        <f>P$6*$B18</f>
        <v/>
      </c>
      <c r="Q18" s="17">
        <f>Q$6*$B18</f>
        <v/>
      </c>
      <c r="R18" s="17">
        <f>R$6*$B18</f>
        <v/>
      </c>
      <c r="S18" s="17">
        <f>S$6*$B18</f>
        <v/>
      </c>
      <c r="T18" s="17">
        <f>T$6*$B18</f>
        <v/>
      </c>
      <c r="U18" s="17">
        <f>U$6*$B18</f>
        <v/>
      </c>
      <c r="V18" s="17">
        <f>V$6*$B18</f>
        <v/>
      </c>
      <c r="W18" s="17">
        <f>W$6*$B18</f>
        <v/>
      </c>
      <c r="X18" s="17">
        <f>X$6*$B18</f>
        <v/>
      </c>
      <c r="Y18" s="17">
        <f>Y$6*$B18</f>
        <v/>
      </c>
      <c r="Z18" s="17">
        <f>Z$6*$B18</f>
        <v/>
      </c>
      <c r="AA18" s="17">
        <f>AA$6*$B18</f>
        <v/>
      </c>
      <c r="AB18" s="17">
        <f>AB$6*$B18</f>
        <v/>
      </c>
      <c r="AC18" s="17">
        <f>AC$6*$B18</f>
        <v/>
      </c>
      <c r="AD18" s="17">
        <f>AD$6*$B18</f>
        <v/>
      </c>
      <c r="AE18" s="17">
        <f>AE$6*$B18</f>
        <v/>
      </c>
      <c r="AF18" s="17">
        <f>AF$6*$B18</f>
        <v/>
      </c>
      <c r="AG18" s="17">
        <f>AG$6*$B18</f>
        <v/>
      </c>
      <c r="AH18" s="17">
        <f>AH$6*$B18</f>
        <v/>
      </c>
      <c r="AI18" s="17">
        <f>AI$6*$B18</f>
        <v/>
      </c>
      <c r="AJ18" s="17">
        <f>AJ$6*$B18</f>
        <v/>
      </c>
      <c r="AK18" s="17">
        <f>AK$6*$B18</f>
        <v/>
      </c>
      <c r="AL18" s="17">
        <f>AL$6*$B18</f>
        <v/>
      </c>
      <c r="AM18" s="17">
        <f>AM$6*$B18</f>
        <v/>
      </c>
      <c r="AN18" s="17">
        <f>AN$6*$B18</f>
        <v/>
      </c>
      <c r="AO18" s="17">
        <f>AO$6*$B18</f>
        <v/>
      </c>
      <c r="AP18" s="17">
        <f>AP$6*$B18</f>
        <v/>
      </c>
      <c r="AQ18" s="17">
        <f>AQ$6*$B18</f>
        <v/>
      </c>
      <c r="AR18" s="17">
        <f>AR$6*$B18</f>
        <v/>
      </c>
      <c r="AS18" s="17">
        <f>AS$6*$B18</f>
        <v/>
      </c>
      <c r="AT18" s="17">
        <f>AT$6*$B18</f>
        <v/>
      </c>
      <c r="AU18" s="17">
        <f>AU$6*$B18</f>
        <v/>
      </c>
      <c r="AV18" s="17">
        <f>AV$6*$B18</f>
        <v/>
      </c>
      <c r="AW18" s="17">
        <f>AW$6*$B18</f>
        <v/>
      </c>
      <c r="AX18" s="17">
        <f>AX$6*$B18</f>
        <v/>
      </c>
      <c r="AY18" s="17">
        <f>AY$6*$B18</f>
        <v/>
      </c>
      <c r="AZ18" s="17">
        <f>AZ$6*$B18</f>
        <v/>
      </c>
      <c r="BA18" s="17">
        <f>BA$6*$B18</f>
        <v/>
      </c>
      <c r="BB18" s="17">
        <f>BB$6*$B18</f>
        <v/>
      </c>
      <c r="BC18" s="17">
        <f>BC$6*$B18</f>
        <v/>
      </c>
      <c r="BD18" s="17">
        <f>BD$6*$B18</f>
        <v/>
      </c>
      <c r="BE18" s="17">
        <f>BE$6*$B18</f>
        <v/>
      </c>
      <c r="BF18" s="17">
        <f>BF$6*$B18</f>
        <v/>
      </c>
      <c r="BG18" s="17">
        <f>BG$6*$B18</f>
        <v/>
      </c>
      <c r="BH18" s="17">
        <f>BH$6*$B18</f>
        <v/>
      </c>
      <c r="BI18" s="17">
        <f>BI$6*$B18</f>
        <v/>
      </c>
      <c r="BJ18" s="17">
        <f>BJ$6*$B18</f>
        <v/>
      </c>
      <c r="BK18" s="17">
        <f>BK$6*$B18</f>
        <v/>
      </c>
      <c r="BL18" s="17">
        <f>BL$6*$B18</f>
        <v/>
      </c>
      <c r="BM18" s="17">
        <f>BM$6*$B18</f>
        <v/>
      </c>
      <c r="BN18" s="17">
        <f>BN$6*$B18</f>
        <v/>
      </c>
      <c r="BO18" s="17">
        <f>BO$6*$B18</f>
        <v/>
      </c>
      <c r="BP18" s="17">
        <f>BP$6*$B18</f>
        <v/>
      </c>
      <c r="BQ18" s="17">
        <f>BQ$6*$B18</f>
        <v/>
      </c>
      <c r="BR18" s="17">
        <f>BR$6*$B18</f>
        <v/>
      </c>
      <c r="BS18" s="17">
        <f>BS$6*$B18</f>
        <v/>
      </c>
      <c r="BT18" s="17">
        <f>BT$6*$B18</f>
        <v/>
      </c>
      <c r="BU18" s="17">
        <f>BU$6*$B18</f>
        <v/>
      </c>
      <c r="BV18" s="17">
        <f>BV$6*$B18</f>
        <v/>
      </c>
      <c r="BW18" s="17">
        <f>BW$6*$B18</f>
        <v/>
      </c>
    </row>
    <row r="19">
      <c r="A19" t="inlineStr">
        <is>
          <t>SMS</t>
        </is>
      </c>
      <c r="B19" s="16" t="n">
        <v>0.01</v>
      </c>
      <c r="D19" s="17">
        <f>D$6*$B19</f>
        <v/>
      </c>
      <c r="E19" s="17">
        <f>E$6*$B19</f>
        <v/>
      </c>
      <c r="F19" s="17">
        <f>F$6*$B19</f>
        <v/>
      </c>
      <c r="G19" s="17">
        <f>G$6*$B19</f>
        <v/>
      </c>
      <c r="H19" s="17">
        <f>H$6*$B19</f>
        <v/>
      </c>
      <c r="I19" s="17">
        <f>I$6*$B19</f>
        <v/>
      </c>
      <c r="J19" s="17">
        <f>J$6*$B19</f>
        <v/>
      </c>
      <c r="K19" s="17">
        <f>K$6*$B19</f>
        <v/>
      </c>
      <c r="L19" s="17">
        <f>L$6*$B19</f>
        <v/>
      </c>
      <c r="M19" s="17">
        <f>M$6*$B19</f>
        <v/>
      </c>
      <c r="N19" s="17">
        <f>N$6*$B19</f>
        <v/>
      </c>
      <c r="O19" s="17">
        <f>O$6*$B19</f>
        <v/>
      </c>
      <c r="P19" s="17">
        <f>P$6*$B19</f>
        <v/>
      </c>
      <c r="Q19" s="17">
        <f>Q$6*$B19</f>
        <v/>
      </c>
      <c r="R19" s="17">
        <f>R$6*$B19</f>
        <v/>
      </c>
      <c r="S19" s="17">
        <f>S$6*$B19</f>
        <v/>
      </c>
      <c r="T19" s="17">
        <f>T$6*$B19</f>
        <v/>
      </c>
      <c r="U19" s="17">
        <f>U$6*$B19</f>
        <v/>
      </c>
      <c r="V19" s="17">
        <f>V$6*$B19</f>
        <v/>
      </c>
      <c r="W19" s="17">
        <f>W$6*$B19</f>
        <v/>
      </c>
      <c r="X19" s="17">
        <f>X$6*$B19</f>
        <v/>
      </c>
      <c r="Y19" s="17">
        <f>Y$6*$B19</f>
        <v/>
      </c>
      <c r="Z19" s="17">
        <f>Z$6*$B19</f>
        <v/>
      </c>
      <c r="AA19" s="17">
        <f>AA$6*$B19</f>
        <v/>
      </c>
      <c r="AB19" s="17">
        <f>AB$6*$B19</f>
        <v/>
      </c>
      <c r="AC19" s="17">
        <f>AC$6*$B19</f>
        <v/>
      </c>
      <c r="AD19" s="17">
        <f>AD$6*$B19</f>
        <v/>
      </c>
      <c r="AE19" s="17">
        <f>AE$6*$B19</f>
        <v/>
      </c>
      <c r="AF19" s="17">
        <f>AF$6*$B19</f>
        <v/>
      </c>
      <c r="AG19" s="17">
        <f>AG$6*$B19</f>
        <v/>
      </c>
      <c r="AH19" s="17">
        <f>AH$6*$B19</f>
        <v/>
      </c>
      <c r="AI19" s="17">
        <f>AI$6*$B19</f>
        <v/>
      </c>
      <c r="AJ19" s="17">
        <f>AJ$6*$B19</f>
        <v/>
      </c>
      <c r="AK19" s="17">
        <f>AK$6*$B19</f>
        <v/>
      </c>
      <c r="AL19" s="17">
        <f>AL$6*$B19</f>
        <v/>
      </c>
      <c r="AM19" s="17">
        <f>AM$6*$B19</f>
        <v/>
      </c>
      <c r="AN19" s="17">
        <f>AN$6*$B19</f>
        <v/>
      </c>
      <c r="AO19" s="17">
        <f>AO$6*$B19</f>
        <v/>
      </c>
      <c r="AP19" s="17">
        <f>AP$6*$B19</f>
        <v/>
      </c>
      <c r="AQ19" s="17">
        <f>AQ$6*$B19</f>
        <v/>
      </c>
      <c r="AR19" s="17">
        <f>AR$6*$B19</f>
        <v/>
      </c>
      <c r="AS19" s="17">
        <f>AS$6*$B19</f>
        <v/>
      </c>
      <c r="AT19" s="17">
        <f>AT$6*$B19</f>
        <v/>
      </c>
      <c r="AU19" s="17">
        <f>AU$6*$B19</f>
        <v/>
      </c>
      <c r="AV19" s="17">
        <f>AV$6*$B19</f>
        <v/>
      </c>
      <c r="AW19" s="17">
        <f>AW$6*$B19</f>
        <v/>
      </c>
      <c r="AX19" s="17">
        <f>AX$6*$B19</f>
        <v/>
      </c>
      <c r="AY19" s="17">
        <f>AY$6*$B19</f>
        <v/>
      </c>
      <c r="AZ19" s="17">
        <f>AZ$6*$B19</f>
        <v/>
      </c>
      <c r="BA19" s="17">
        <f>BA$6*$B19</f>
        <v/>
      </c>
      <c r="BB19" s="17">
        <f>BB$6*$B19</f>
        <v/>
      </c>
      <c r="BC19" s="17">
        <f>BC$6*$B19</f>
        <v/>
      </c>
      <c r="BD19" s="17">
        <f>BD$6*$B19</f>
        <v/>
      </c>
      <c r="BE19" s="17">
        <f>BE$6*$B19</f>
        <v/>
      </c>
      <c r="BF19" s="17">
        <f>BF$6*$B19</f>
        <v/>
      </c>
      <c r="BG19" s="17">
        <f>BG$6*$B19</f>
        <v/>
      </c>
      <c r="BH19" s="17">
        <f>BH$6*$B19</f>
        <v/>
      </c>
      <c r="BI19" s="17">
        <f>BI$6*$B19</f>
        <v/>
      </c>
      <c r="BJ19" s="17">
        <f>BJ$6*$B19</f>
        <v/>
      </c>
      <c r="BK19" s="17">
        <f>BK$6*$B19</f>
        <v/>
      </c>
      <c r="BL19" s="17">
        <f>BL$6*$B19</f>
        <v/>
      </c>
      <c r="BM19" s="17">
        <f>BM$6*$B19</f>
        <v/>
      </c>
      <c r="BN19" s="17">
        <f>BN$6*$B19</f>
        <v/>
      </c>
      <c r="BO19" s="17">
        <f>BO$6*$B19</f>
        <v/>
      </c>
      <c r="BP19" s="17">
        <f>BP$6*$B19</f>
        <v/>
      </c>
      <c r="BQ19" s="17">
        <f>BQ$6*$B19</f>
        <v/>
      </c>
      <c r="BR19" s="17">
        <f>BR$6*$B19</f>
        <v/>
      </c>
      <c r="BS19" s="17">
        <f>BS$6*$B19</f>
        <v/>
      </c>
      <c r="BT19" s="17">
        <f>BT$6*$B19</f>
        <v/>
      </c>
      <c r="BU19" s="17">
        <f>BU$6*$B19</f>
        <v/>
      </c>
      <c r="BV19" s="17">
        <f>BV$6*$B19</f>
        <v/>
      </c>
      <c r="BW19" s="17">
        <f>BW$6*$B19</f>
        <v/>
      </c>
    </row>
    <row r="21">
      <c r="A21" s="1" t="inlineStr">
        <is>
          <t>Total (verify = row 6)</t>
        </is>
      </c>
      <c r="D21" s="28">
        <f>SUM(D8:D20)</f>
        <v/>
      </c>
      <c r="E21" s="28">
        <f>SUM(E8:E20)</f>
        <v/>
      </c>
      <c r="F21" s="28">
        <f>SUM(F8:F20)</f>
        <v/>
      </c>
      <c r="G21" s="28">
        <f>SUM(G8:G20)</f>
        <v/>
      </c>
      <c r="H21" s="28">
        <f>SUM(H8:H20)</f>
        <v/>
      </c>
      <c r="I21" s="28">
        <f>SUM(I8:I20)</f>
        <v/>
      </c>
      <c r="J21" s="28">
        <f>SUM(J8:J20)</f>
        <v/>
      </c>
      <c r="K21" s="28">
        <f>SUM(K8:K20)</f>
        <v/>
      </c>
      <c r="L21" s="28">
        <f>SUM(L8:L20)</f>
        <v/>
      </c>
      <c r="M21" s="28">
        <f>SUM(M8:M20)</f>
        <v/>
      </c>
      <c r="N21" s="28">
        <f>SUM(N8:N20)</f>
        <v/>
      </c>
      <c r="O21" s="28">
        <f>SUM(O8:O20)</f>
        <v/>
      </c>
      <c r="P21" s="28">
        <f>SUM(P8:P20)</f>
        <v/>
      </c>
      <c r="Q21" s="28">
        <f>SUM(Q8:Q20)</f>
        <v/>
      </c>
      <c r="R21" s="28">
        <f>SUM(R8:R20)</f>
        <v/>
      </c>
      <c r="S21" s="28">
        <f>SUM(S8:S20)</f>
        <v/>
      </c>
      <c r="T21" s="28">
        <f>SUM(T8:T20)</f>
        <v/>
      </c>
      <c r="U21" s="28">
        <f>SUM(U8:U20)</f>
        <v/>
      </c>
      <c r="V21" s="28">
        <f>SUM(V8:V20)</f>
        <v/>
      </c>
      <c r="W21" s="28">
        <f>SUM(W8:W20)</f>
        <v/>
      </c>
      <c r="X21" s="28">
        <f>SUM(X8:X20)</f>
        <v/>
      </c>
      <c r="Y21" s="28">
        <f>SUM(Y8:Y20)</f>
        <v/>
      </c>
      <c r="Z21" s="28">
        <f>SUM(Z8:Z20)</f>
        <v/>
      </c>
      <c r="AA21" s="28">
        <f>SUM(AA8:AA20)</f>
        <v/>
      </c>
      <c r="AB21" s="28">
        <f>SUM(AB8:AB20)</f>
        <v/>
      </c>
      <c r="AC21" s="28">
        <f>SUM(AC8:AC20)</f>
        <v/>
      </c>
      <c r="AD21" s="28">
        <f>SUM(AD8:AD20)</f>
        <v/>
      </c>
      <c r="AE21" s="28">
        <f>SUM(AE8:AE20)</f>
        <v/>
      </c>
      <c r="AF21" s="28">
        <f>SUM(AF8:AF20)</f>
        <v/>
      </c>
      <c r="AG21" s="28">
        <f>SUM(AG8:AG20)</f>
        <v/>
      </c>
      <c r="AH21" s="28">
        <f>SUM(AH8:AH20)</f>
        <v/>
      </c>
      <c r="AI21" s="28">
        <f>SUM(AI8:AI20)</f>
        <v/>
      </c>
      <c r="AJ21" s="28">
        <f>SUM(AJ8:AJ20)</f>
        <v/>
      </c>
      <c r="AK21" s="28">
        <f>SUM(AK8:AK20)</f>
        <v/>
      </c>
      <c r="AL21" s="28">
        <f>SUM(AL8:AL20)</f>
        <v/>
      </c>
      <c r="AM21" s="28">
        <f>SUM(AM8:AM20)</f>
        <v/>
      </c>
      <c r="AN21" s="28">
        <f>SUM(AN8:AN20)</f>
        <v/>
      </c>
      <c r="AO21" s="28">
        <f>SUM(AO8:AO20)</f>
        <v/>
      </c>
      <c r="AP21" s="28">
        <f>SUM(AP8:AP20)</f>
        <v/>
      </c>
      <c r="AQ21" s="28">
        <f>SUM(AQ8:AQ20)</f>
        <v/>
      </c>
      <c r="AR21" s="28">
        <f>SUM(AR8:AR20)</f>
        <v/>
      </c>
      <c r="AS21" s="28">
        <f>SUM(AS8:AS20)</f>
        <v/>
      </c>
      <c r="AT21" s="28">
        <f>SUM(AT8:AT20)</f>
        <v/>
      </c>
      <c r="AU21" s="28">
        <f>SUM(AU8:AU20)</f>
        <v/>
      </c>
      <c r="AV21" s="28">
        <f>SUM(AV8:AV20)</f>
        <v/>
      </c>
      <c r="AW21" s="28">
        <f>SUM(AW8:AW20)</f>
        <v/>
      </c>
      <c r="AX21" s="28">
        <f>SUM(AX8:AX20)</f>
        <v/>
      </c>
      <c r="AY21" s="28">
        <f>SUM(AY8:AY20)</f>
        <v/>
      </c>
      <c r="AZ21" s="28">
        <f>SUM(AZ8:AZ20)</f>
        <v/>
      </c>
      <c r="BA21" s="28">
        <f>SUM(BA8:BA20)</f>
        <v/>
      </c>
      <c r="BB21" s="28">
        <f>SUM(BB8:BB20)</f>
        <v/>
      </c>
      <c r="BC21" s="28">
        <f>SUM(BC8:BC20)</f>
        <v/>
      </c>
      <c r="BD21" s="28">
        <f>SUM(BD8:BD20)</f>
        <v/>
      </c>
      <c r="BE21" s="28">
        <f>SUM(BE8:BE20)</f>
        <v/>
      </c>
      <c r="BF21" s="28">
        <f>SUM(BF8:BF20)</f>
        <v/>
      </c>
      <c r="BG21" s="28">
        <f>SUM(BG8:BG20)</f>
        <v/>
      </c>
      <c r="BH21" s="28">
        <f>SUM(BH8:BH20)</f>
        <v/>
      </c>
      <c r="BI21" s="28">
        <f>SUM(BI8:BI20)</f>
        <v/>
      </c>
      <c r="BJ21" s="28">
        <f>SUM(BJ8:BJ20)</f>
        <v/>
      </c>
      <c r="BK21" s="28">
        <f>SUM(BK8:BK20)</f>
        <v/>
      </c>
      <c r="BL21" s="28">
        <f>SUM(BL8:BL20)</f>
        <v/>
      </c>
      <c r="BM21" s="28">
        <f>SUM(BM8:BM20)</f>
        <v/>
      </c>
      <c r="BN21" s="28">
        <f>SUM(BN8:BN20)</f>
        <v/>
      </c>
      <c r="BO21" s="28">
        <f>SUM(BO8:BO20)</f>
        <v/>
      </c>
      <c r="BP21" s="28">
        <f>SUM(BP8:BP20)</f>
        <v/>
      </c>
      <c r="BQ21" s="28">
        <f>SUM(BQ8:BQ20)</f>
        <v/>
      </c>
      <c r="BR21" s="28">
        <f>SUM(BR8:BR20)</f>
        <v/>
      </c>
      <c r="BS21" s="28">
        <f>SUM(BS8:BS20)</f>
        <v/>
      </c>
      <c r="BT21" s="28">
        <f>SUM(BT8:BT20)</f>
        <v/>
      </c>
      <c r="BU21" s="28">
        <f>SUM(BU8:BU20)</f>
        <v/>
      </c>
      <c r="BV21" s="28">
        <f>SUM(BV8:BV20)</f>
        <v/>
      </c>
      <c r="BW21" s="28">
        <f>SUM(BW8:BW20)</f>
        <v/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/>
  </sheetPr>
  <dimension ref="A1:BW44"/>
  <sheetViews>
    <sheetView workbookViewId="0">
      <pane xSplit="3" ySplit="4" topLeftCell="D12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2" customWidth="1" style="50" min="1" max="1"/>
    <col width="11" customWidth="1" style="50" min="4" max="75"/>
  </cols>
  <sheetData>
    <row r="1" ht="24" customHeight="1" s="50">
      <c r="A1" s="95" t="inlineStr">
        <is>
          <t>Ops Staffing — Headcount Roll-Forward</t>
        </is>
      </c>
    </row>
    <row r="2">
      <c r="A2" s="5" t="inlineStr">
        <is>
          <t>V50 logic: HC scales per 1,000 active CX contracts. Annual wage inflation = Assumptions!B11.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97" t="inlineStr">
        <is>
          <t>HC per 1,000 active CX contracts (V50 baseline)</t>
        </is>
      </c>
    </row>
    <row r="6">
      <c r="A6" t="inlineStr">
        <is>
          <t>Sales Manager</t>
        </is>
      </c>
      <c r="B6" s="3" t="n">
        <v>0</v>
      </c>
    </row>
    <row r="7">
      <c r="A7" t="inlineStr">
        <is>
          <t>Team Lead Closers</t>
        </is>
      </c>
      <c r="B7" s="3" t="n">
        <v>1</v>
      </c>
    </row>
    <row r="8">
      <c r="A8" t="inlineStr">
        <is>
          <t>Closers</t>
        </is>
      </c>
      <c r="B8" s="3" t="n">
        <v>8</v>
      </c>
    </row>
    <row r="9">
      <c r="A9" t="inlineStr">
        <is>
          <t>Screeners</t>
        </is>
      </c>
      <c r="B9" s="3" t="n">
        <v>12</v>
      </c>
    </row>
    <row r="10">
      <c r="A10" t="inlineStr">
        <is>
          <t>Screeners Team Leads</t>
        </is>
      </c>
      <c r="B10" s="3" t="n">
        <v>2</v>
      </c>
    </row>
    <row r="11">
      <c r="A11" t="inlineStr">
        <is>
          <t>Admin</t>
        </is>
      </c>
      <c r="B11" s="3" t="n">
        <v>1</v>
      </c>
    </row>
    <row r="12">
      <c r="A12" t="inlineStr">
        <is>
          <t>Claim Manager</t>
        </is>
      </c>
      <c r="B12" s="3" t="n">
        <v>5</v>
      </c>
    </row>
    <row r="13">
      <c r="A13" t="inlineStr">
        <is>
          <t>Claims Reps</t>
        </is>
      </c>
      <c r="B13" s="3" t="n">
        <v>1</v>
      </c>
    </row>
    <row r="14">
      <c r="A14" t="inlineStr">
        <is>
          <t>Collections</t>
        </is>
      </c>
      <c r="B14" s="3" t="n">
        <v>1</v>
      </c>
    </row>
    <row r="15">
      <c r="A15" t="inlineStr">
        <is>
          <t>Collections Manager</t>
        </is>
      </c>
      <c r="B15" s="3" t="n">
        <v>1</v>
      </c>
    </row>
    <row r="16">
      <c r="A16" t="inlineStr">
        <is>
          <t>CS Manager</t>
        </is>
      </c>
      <c r="B16" s="3" t="n">
        <v>3</v>
      </c>
    </row>
    <row r="17">
      <c r="A17" t="inlineStr">
        <is>
          <t>CS Reps</t>
        </is>
      </c>
      <c r="B17" s="3" t="n">
        <v>1</v>
      </c>
    </row>
    <row r="18">
      <c r="A18" t="inlineStr">
        <is>
          <t>Dev Team</t>
        </is>
      </c>
      <c r="B18" s="3" t="n">
        <v>4</v>
      </c>
    </row>
    <row r="19">
      <c r="A19" t="inlineStr">
        <is>
          <t>HR</t>
        </is>
      </c>
      <c r="B19" s="3" t="n">
        <v>0</v>
      </c>
    </row>
    <row r="20">
      <c r="A20" t="inlineStr">
        <is>
          <t>IT</t>
        </is>
      </c>
      <c r="B20" s="3" t="n">
        <v>3</v>
      </c>
    </row>
    <row r="21">
      <c r="A21" t="inlineStr">
        <is>
          <t>Legal</t>
        </is>
      </c>
      <c r="B21" s="3" t="n">
        <v>0</v>
      </c>
    </row>
    <row r="22">
      <c r="A22" t="inlineStr">
        <is>
          <t>QA Manager</t>
        </is>
      </c>
      <c r="B22" s="3" t="n">
        <v>0</v>
      </c>
    </row>
    <row r="23">
      <c r="A23" t="inlineStr">
        <is>
          <t>QA Reps</t>
        </is>
      </c>
      <c r="B23" s="3" t="n">
        <v>1</v>
      </c>
    </row>
    <row r="24">
      <c r="A24" t="inlineStr">
        <is>
          <t>Screener Manager</t>
        </is>
      </c>
      <c r="B24" s="3" t="n">
        <v>0</v>
      </c>
    </row>
    <row r="25">
      <c r="A25" t="inlineStr">
        <is>
          <t>Trainers</t>
        </is>
      </c>
      <c r="B25" s="3" t="n">
        <v>0</v>
      </c>
    </row>
    <row r="26">
      <c r="A26" t="inlineStr">
        <is>
          <t>Upper Management</t>
        </is>
      </c>
      <c r="B26" s="3" t="n">
        <v>0</v>
      </c>
    </row>
    <row r="27">
      <c r="A27" t="inlineStr">
        <is>
          <t>Verifiers</t>
        </is>
      </c>
      <c r="B27" s="3" t="n">
        <v>0</v>
      </c>
    </row>
    <row r="30">
      <c r="A30" s="97" t="inlineStr">
        <is>
          <t>HEADCOUNT (computed = ratio × active/1000)</t>
        </is>
      </c>
    </row>
    <row r="31">
      <c r="A31" s="1" t="inlineStr">
        <is>
          <t>Active CX contracts (from CX Sales)</t>
        </is>
      </c>
      <c r="D31" s="102">
        <f>'CX Sales'!D6</f>
        <v/>
      </c>
      <c r="E31" s="102">
        <f>'CX Sales'!E6</f>
        <v/>
      </c>
      <c r="F31" s="102">
        <f>'CX Sales'!F6</f>
        <v/>
      </c>
      <c r="G31" s="102">
        <f>'CX Sales'!G6</f>
        <v/>
      </c>
      <c r="H31" s="102">
        <f>'CX Sales'!H6</f>
        <v/>
      </c>
      <c r="I31" s="102">
        <f>'CX Sales'!I6</f>
        <v/>
      </c>
      <c r="J31" s="102">
        <f>'CX Sales'!J6</f>
        <v/>
      </c>
      <c r="K31" s="102">
        <f>'CX Sales'!K6</f>
        <v/>
      </c>
      <c r="L31" s="102">
        <f>'CX Sales'!L6</f>
        <v/>
      </c>
      <c r="M31" s="102">
        <f>'CX Sales'!M6</f>
        <v/>
      </c>
      <c r="N31" s="102">
        <f>'CX Sales'!N6</f>
        <v/>
      </c>
      <c r="O31" s="102">
        <f>'CX Sales'!O6</f>
        <v/>
      </c>
      <c r="P31" s="102">
        <f>'CX Sales'!P6</f>
        <v/>
      </c>
      <c r="Q31" s="102">
        <f>'CX Sales'!Q6</f>
        <v/>
      </c>
      <c r="R31" s="102">
        <f>'CX Sales'!R6</f>
        <v/>
      </c>
      <c r="S31" s="102">
        <f>'CX Sales'!S6</f>
        <v/>
      </c>
      <c r="T31" s="102">
        <f>'CX Sales'!T6</f>
        <v/>
      </c>
      <c r="U31" s="102">
        <f>'CX Sales'!U6</f>
        <v/>
      </c>
      <c r="V31" s="102">
        <f>'CX Sales'!V6</f>
        <v/>
      </c>
      <c r="W31" s="102">
        <f>'CX Sales'!W6</f>
        <v/>
      </c>
      <c r="X31" s="102">
        <f>'CX Sales'!X6</f>
        <v/>
      </c>
      <c r="Y31" s="102">
        <f>'CX Sales'!Y6</f>
        <v/>
      </c>
      <c r="Z31" s="102">
        <f>'CX Sales'!Z6</f>
        <v/>
      </c>
      <c r="AA31" s="102">
        <f>'CX Sales'!AA6</f>
        <v/>
      </c>
      <c r="AB31" s="102">
        <f>'CX Sales'!AB6</f>
        <v/>
      </c>
      <c r="AC31" s="102">
        <f>'CX Sales'!AC6</f>
        <v/>
      </c>
      <c r="AD31" s="102">
        <f>'CX Sales'!AD6</f>
        <v/>
      </c>
      <c r="AE31" s="102">
        <f>'CX Sales'!AE6</f>
        <v/>
      </c>
      <c r="AF31" s="102">
        <f>'CX Sales'!AF6</f>
        <v/>
      </c>
      <c r="AG31" s="102">
        <f>'CX Sales'!AG6</f>
        <v/>
      </c>
      <c r="AH31" s="102">
        <f>'CX Sales'!AH6</f>
        <v/>
      </c>
      <c r="AI31" s="102">
        <f>'CX Sales'!AI6</f>
        <v/>
      </c>
      <c r="AJ31" s="102">
        <f>'CX Sales'!AJ6</f>
        <v/>
      </c>
      <c r="AK31" s="102">
        <f>'CX Sales'!AK6</f>
        <v/>
      </c>
      <c r="AL31" s="102">
        <f>'CX Sales'!AL6</f>
        <v/>
      </c>
      <c r="AM31" s="102">
        <f>'CX Sales'!AM6</f>
        <v/>
      </c>
      <c r="AN31" s="102">
        <f>'CX Sales'!AN6</f>
        <v/>
      </c>
      <c r="AO31" s="102">
        <f>'CX Sales'!AO6</f>
        <v/>
      </c>
      <c r="AP31" s="102">
        <f>'CX Sales'!AP6</f>
        <v/>
      </c>
      <c r="AQ31" s="102">
        <f>'CX Sales'!AQ6</f>
        <v/>
      </c>
      <c r="AR31" s="102">
        <f>'CX Sales'!AR6</f>
        <v/>
      </c>
      <c r="AS31" s="102">
        <f>'CX Sales'!AS6</f>
        <v/>
      </c>
      <c r="AT31" s="102">
        <f>'CX Sales'!AT6</f>
        <v/>
      </c>
      <c r="AU31" s="102">
        <f>'CX Sales'!AU6</f>
        <v/>
      </c>
      <c r="AV31" s="102">
        <f>'CX Sales'!AV6</f>
        <v/>
      </c>
      <c r="AW31" s="102">
        <f>'CX Sales'!AW6</f>
        <v/>
      </c>
      <c r="AX31" s="102">
        <f>'CX Sales'!AX6</f>
        <v/>
      </c>
      <c r="AY31" s="102">
        <f>'CX Sales'!AY6</f>
        <v/>
      </c>
      <c r="AZ31" s="102">
        <f>'CX Sales'!AZ6</f>
        <v/>
      </c>
      <c r="BA31" s="102">
        <f>'CX Sales'!BA6</f>
        <v/>
      </c>
      <c r="BB31" s="102">
        <f>'CX Sales'!BB6</f>
        <v/>
      </c>
      <c r="BC31" s="102">
        <f>'CX Sales'!BC6</f>
        <v/>
      </c>
      <c r="BD31" s="102">
        <f>'CX Sales'!BD6</f>
        <v/>
      </c>
      <c r="BE31" s="102">
        <f>'CX Sales'!BE6</f>
        <v/>
      </c>
      <c r="BF31" s="102">
        <f>'CX Sales'!BF6</f>
        <v/>
      </c>
      <c r="BG31" s="102">
        <f>'CX Sales'!BG6</f>
        <v/>
      </c>
      <c r="BH31" s="102">
        <f>'CX Sales'!BH6</f>
        <v/>
      </c>
      <c r="BI31" s="102">
        <f>'CX Sales'!BI6</f>
        <v/>
      </c>
      <c r="BJ31" s="102">
        <f>'CX Sales'!BJ6</f>
        <v/>
      </c>
      <c r="BK31" s="102">
        <f>'CX Sales'!BK6</f>
        <v/>
      </c>
      <c r="BL31" s="102">
        <f>'CX Sales'!BL6</f>
        <v/>
      </c>
      <c r="BM31" s="102">
        <f>'CX Sales'!BM6</f>
        <v/>
      </c>
      <c r="BN31" s="102">
        <f>'CX Sales'!BN6</f>
        <v/>
      </c>
      <c r="BO31" s="102">
        <f>'CX Sales'!BO6</f>
        <v/>
      </c>
      <c r="BP31" s="102">
        <f>'CX Sales'!BP6</f>
        <v/>
      </c>
      <c r="BQ31" s="102">
        <f>'CX Sales'!BQ6</f>
        <v/>
      </c>
      <c r="BR31" s="102">
        <f>'CX Sales'!BR6</f>
        <v/>
      </c>
      <c r="BS31" s="102">
        <f>'CX Sales'!BS6</f>
        <v/>
      </c>
      <c r="BT31" s="102">
        <f>'CX Sales'!BT6</f>
        <v/>
      </c>
      <c r="BU31" s="102">
        <f>'CX Sales'!BU6</f>
        <v/>
      </c>
      <c r="BV31" s="102">
        <f>'CX Sales'!BV6</f>
        <v/>
      </c>
      <c r="BW31" s="102">
        <f>'CX Sales'!BW6</f>
        <v/>
      </c>
    </row>
    <row r="32">
      <c r="A32" s="1" t="inlineStr">
        <is>
          <t>Total headcount (Σ roles)</t>
        </is>
      </c>
      <c r="D32" s="33">
        <f>MAX(20,ROUND(D31/1000*44,0))</f>
        <v/>
      </c>
      <c r="E32" s="33">
        <f>MAX(20,ROUND(E31/1000*44,0))</f>
        <v/>
      </c>
      <c r="F32" s="33">
        <f>MAX(20,ROUND(F31/1000*44,0))</f>
        <v/>
      </c>
      <c r="G32" s="33">
        <f>MAX(20,ROUND(G31/1000*44,0))</f>
        <v/>
      </c>
      <c r="H32" s="33">
        <f>MAX(20,ROUND(H31/1000*44,0))</f>
        <v/>
      </c>
      <c r="I32" s="33">
        <f>MAX(20,ROUND(I31/1000*44,0))</f>
        <v/>
      </c>
      <c r="J32" s="33">
        <f>MAX(20,ROUND(J31/1000*44,0))</f>
        <v/>
      </c>
      <c r="K32" s="33">
        <f>MAX(20,ROUND(K31/1000*44,0))</f>
        <v/>
      </c>
      <c r="L32" s="33">
        <f>MAX(20,ROUND(L31/1000*44,0))</f>
        <v/>
      </c>
      <c r="M32" s="33">
        <f>MAX(20,ROUND(M31/1000*44,0))</f>
        <v/>
      </c>
      <c r="N32" s="33">
        <f>MAX(20,ROUND(N31/1000*44,0))</f>
        <v/>
      </c>
      <c r="O32" s="33">
        <f>MAX(20,ROUND(O31/1000*44,0))</f>
        <v/>
      </c>
      <c r="P32" s="33">
        <f>MAX(20,ROUND(P31/1000*44,0))</f>
        <v/>
      </c>
      <c r="Q32" s="33">
        <f>MAX(20,ROUND(Q31/1000*44,0))</f>
        <v/>
      </c>
      <c r="R32" s="33">
        <f>MAX(20,ROUND(R31/1000*44,0))</f>
        <v/>
      </c>
      <c r="S32" s="33">
        <f>MAX(20,ROUND(S31/1000*44,0))</f>
        <v/>
      </c>
      <c r="T32" s="33">
        <f>MAX(20,ROUND(T31/1000*44,0))</f>
        <v/>
      </c>
      <c r="U32" s="33">
        <f>MAX(20,ROUND(U31/1000*44,0))</f>
        <v/>
      </c>
      <c r="V32" s="33">
        <f>MAX(20,ROUND(V31/1000*44,0))</f>
        <v/>
      </c>
      <c r="W32" s="33">
        <f>MAX(20,ROUND(W31/1000*44,0))</f>
        <v/>
      </c>
      <c r="X32" s="33">
        <f>MAX(20,ROUND(X31/1000*44,0))</f>
        <v/>
      </c>
      <c r="Y32" s="33">
        <f>MAX(20,ROUND(Y31/1000*44,0))</f>
        <v/>
      </c>
      <c r="Z32" s="33">
        <f>MAX(20,ROUND(Z31/1000*44,0))</f>
        <v/>
      </c>
      <c r="AA32" s="33">
        <f>MAX(20,ROUND(AA31/1000*44,0))</f>
        <v/>
      </c>
      <c r="AB32" s="33">
        <f>MAX(20,ROUND(AB31/1000*44,0))</f>
        <v/>
      </c>
      <c r="AC32" s="33">
        <f>MAX(20,ROUND(AC31/1000*44,0))</f>
        <v/>
      </c>
      <c r="AD32" s="33">
        <f>MAX(20,ROUND(AD31/1000*44,0))</f>
        <v/>
      </c>
      <c r="AE32" s="33">
        <f>MAX(20,ROUND(AE31/1000*44,0))</f>
        <v/>
      </c>
      <c r="AF32" s="33">
        <f>MAX(20,ROUND(AF31/1000*44,0))</f>
        <v/>
      </c>
      <c r="AG32" s="33">
        <f>MAX(20,ROUND(AG31/1000*44,0))</f>
        <v/>
      </c>
      <c r="AH32" s="33">
        <f>MAX(20,ROUND(AH31/1000*44,0))</f>
        <v/>
      </c>
      <c r="AI32" s="33">
        <f>MAX(20,ROUND(AI31/1000*44,0))</f>
        <v/>
      </c>
      <c r="AJ32" s="33">
        <f>MAX(20,ROUND(AJ31/1000*44,0))</f>
        <v/>
      </c>
      <c r="AK32" s="33">
        <f>MAX(20,ROUND(AK31/1000*44,0))</f>
        <v/>
      </c>
      <c r="AL32" s="33">
        <f>MAX(20,ROUND(AL31/1000*44,0))</f>
        <v/>
      </c>
      <c r="AM32" s="33">
        <f>MAX(20,ROUND(AM31/1000*44,0))</f>
        <v/>
      </c>
      <c r="AN32" s="33">
        <f>MAX(20,ROUND(AN31/1000*44,0))</f>
        <v/>
      </c>
      <c r="AO32" s="33">
        <f>MAX(20,ROUND(AO31/1000*44,0))</f>
        <v/>
      </c>
      <c r="AP32" s="33">
        <f>MAX(20,ROUND(AP31/1000*44,0))</f>
        <v/>
      </c>
      <c r="AQ32" s="33">
        <f>MAX(20,ROUND(AQ31/1000*44,0))</f>
        <v/>
      </c>
      <c r="AR32" s="33">
        <f>MAX(20,ROUND(AR31/1000*44,0))</f>
        <v/>
      </c>
      <c r="AS32" s="33">
        <f>MAX(20,ROUND(AS31/1000*44,0))</f>
        <v/>
      </c>
      <c r="AT32" s="33">
        <f>MAX(20,ROUND(AT31/1000*44,0))</f>
        <v/>
      </c>
      <c r="AU32" s="33">
        <f>MAX(20,ROUND(AU31/1000*44,0))</f>
        <v/>
      </c>
      <c r="AV32" s="33">
        <f>MAX(20,ROUND(AV31/1000*44,0))</f>
        <v/>
      </c>
      <c r="AW32" s="33">
        <f>MAX(20,ROUND(AW31/1000*44,0))</f>
        <v/>
      </c>
      <c r="AX32" s="33">
        <f>MAX(20,ROUND(AX31/1000*44,0))</f>
        <v/>
      </c>
      <c r="AY32" s="33">
        <f>MAX(20,ROUND(AY31/1000*44,0))</f>
        <v/>
      </c>
      <c r="AZ32" s="33">
        <f>MAX(20,ROUND(AZ31/1000*44,0))</f>
        <v/>
      </c>
      <c r="BA32" s="33">
        <f>MAX(20,ROUND(BA31/1000*44,0))</f>
        <v/>
      </c>
      <c r="BB32" s="33">
        <f>MAX(20,ROUND(BB31/1000*44,0))</f>
        <v/>
      </c>
      <c r="BC32" s="33">
        <f>MAX(20,ROUND(BC31/1000*44,0))</f>
        <v/>
      </c>
      <c r="BD32" s="33">
        <f>MAX(20,ROUND(BD31/1000*44,0))</f>
        <v/>
      </c>
      <c r="BE32" s="33">
        <f>MAX(20,ROUND(BE31/1000*44,0))</f>
        <v/>
      </c>
      <c r="BF32" s="33">
        <f>MAX(20,ROUND(BF31/1000*44,0))</f>
        <v/>
      </c>
      <c r="BG32" s="33">
        <f>MAX(20,ROUND(BG31/1000*44,0))</f>
        <v/>
      </c>
      <c r="BH32" s="33">
        <f>MAX(20,ROUND(BH31/1000*44,0))</f>
        <v/>
      </c>
      <c r="BI32" s="33">
        <f>MAX(20,ROUND(BI31/1000*44,0))</f>
        <v/>
      </c>
      <c r="BJ32" s="33">
        <f>MAX(20,ROUND(BJ31/1000*44,0))</f>
        <v/>
      </c>
      <c r="BK32" s="33">
        <f>MAX(20,ROUND(BK31/1000*44,0))</f>
        <v/>
      </c>
      <c r="BL32" s="33">
        <f>MAX(20,ROUND(BL31/1000*44,0))</f>
        <v/>
      </c>
      <c r="BM32" s="33">
        <f>MAX(20,ROUND(BM31/1000*44,0))</f>
        <v/>
      </c>
      <c r="BN32" s="33">
        <f>MAX(20,ROUND(BN31/1000*44,0))</f>
        <v/>
      </c>
      <c r="BO32" s="33">
        <f>MAX(20,ROUND(BO31/1000*44,0))</f>
        <v/>
      </c>
      <c r="BP32" s="33">
        <f>MAX(20,ROUND(BP31/1000*44,0))</f>
        <v/>
      </c>
      <c r="BQ32" s="33">
        <f>MAX(20,ROUND(BQ31/1000*44,0))</f>
        <v/>
      </c>
      <c r="BR32" s="33">
        <f>MAX(20,ROUND(BR31/1000*44,0))</f>
        <v/>
      </c>
      <c r="BS32" s="33">
        <f>MAX(20,ROUND(BS31/1000*44,0))</f>
        <v/>
      </c>
      <c r="BT32" s="33">
        <f>MAX(20,ROUND(BT31/1000*44,0))</f>
        <v/>
      </c>
      <c r="BU32" s="33">
        <f>MAX(20,ROUND(BU31/1000*44,0))</f>
        <v/>
      </c>
      <c r="BV32" s="33">
        <f>MAX(20,ROUND(BV31/1000*44,0))</f>
        <v/>
      </c>
      <c r="BW32" s="33">
        <f>MAX(20,ROUND(BW31/1000*44,0))</f>
        <v/>
      </c>
    </row>
    <row r="34">
      <c r="A34" s="97" t="inlineStr">
        <is>
          <t>WAGE SCHEDULE (monthly fully-loaded $ per HC)</t>
        </is>
      </c>
    </row>
    <row r="35">
      <c r="A35" t="inlineStr">
        <is>
          <t>Wage tier — pre 7/1/25</t>
        </is>
      </c>
      <c r="B35" s="3" t="n">
        <v>1050</v>
      </c>
    </row>
    <row r="36">
      <c r="A36" t="inlineStr">
        <is>
          <t>Wage tier — 7/1/25 to 6/30/26</t>
        </is>
      </c>
      <c r="B36" s="3" t="n">
        <v>1450</v>
      </c>
    </row>
    <row r="37">
      <c r="A37" t="inlineStr">
        <is>
          <t>Wage tier — 7/1/26+</t>
        </is>
      </c>
      <c r="B37" s="3" t="n">
        <v>1750</v>
      </c>
    </row>
    <row r="39">
      <c r="A39" s="1" t="inlineStr">
        <is>
          <t>Effective monthly wage / HC</t>
        </is>
      </c>
      <c r="D39" s="17">
        <f>IF(0&lt;6,$B$35,IF(0&lt;18,$B$36,$B$37))</f>
        <v/>
      </c>
      <c r="E39" s="17">
        <f>IF(1&lt;6,$B$35,IF(1&lt;18,$B$36,$B$37))</f>
        <v/>
      </c>
      <c r="F39" s="17">
        <f>IF(2&lt;6,$B$35,IF(2&lt;18,$B$36,$B$37))</f>
        <v/>
      </c>
      <c r="G39" s="17">
        <f>IF(3&lt;6,$B$35,IF(3&lt;18,$B$36,$B$37))</f>
        <v/>
      </c>
      <c r="H39" s="17">
        <f>IF(4&lt;6,$B$35,IF(4&lt;18,$B$36,$B$37))</f>
        <v/>
      </c>
      <c r="I39" s="17">
        <f>IF(5&lt;6,$B$35,IF(5&lt;18,$B$36,$B$37))</f>
        <v/>
      </c>
      <c r="J39" s="17">
        <f>IF(6&lt;6,$B$35,IF(6&lt;18,$B$36,$B$37))</f>
        <v/>
      </c>
      <c r="K39" s="17">
        <f>IF(7&lt;6,$B$35,IF(7&lt;18,$B$36,$B$37))</f>
        <v/>
      </c>
      <c r="L39" s="17">
        <f>IF(8&lt;6,$B$35,IF(8&lt;18,$B$36,$B$37))</f>
        <v/>
      </c>
      <c r="M39" s="17">
        <f>IF(9&lt;6,$B$35,IF(9&lt;18,$B$36,$B$37))</f>
        <v/>
      </c>
      <c r="N39" s="17">
        <f>IF(10&lt;6,$B$35,IF(10&lt;18,$B$36,$B$37))</f>
        <v/>
      </c>
      <c r="O39" s="17">
        <f>IF(11&lt;6,$B$35,IF(11&lt;18,$B$36,$B$37))</f>
        <v/>
      </c>
      <c r="P39" s="17">
        <f>IF(12&lt;6,$B$35,IF(12&lt;18,$B$36,$B$37))</f>
        <v/>
      </c>
      <c r="Q39" s="17">
        <f>IF(13&lt;6,$B$35,IF(13&lt;18,$B$36,$B$37))</f>
        <v/>
      </c>
      <c r="R39" s="17">
        <f>IF(14&lt;6,$B$35,IF(14&lt;18,$B$36,$B$37))</f>
        <v/>
      </c>
      <c r="S39" s="17">
        <f>IF(15&lt;6,$B$35,IF(15&lt;18,$B$36,$B$37))</f>
        <v/>
      </c>
      <c r="T39" s="17">
        <f>IF(16&lt;6,$B$35,IF(16&lt;18,$B$36,$B$37))</f>
        <v/>
      </c>
      <c r="U39" s="17">
        <f>IF(17&lt;6,$B$35,IF(17&lt;18,$B$36,$B$37))</f>
        <v/>
      </c>
      <c r="V39" s="17">
        <f>IF(18&lt;6,$B$35,IF(18&lt;18,$B$36,$B$37))</f>
        <v/>
      </c>
      <c r="W39" s="17">
        <f>IF(19&lt;6,$B$35,IF(19&lt;18,$B$36,$B$37))</f>
        <v/>
      </c>
      <c r="X39" s="17">
        <f>IF(20&lt;6,$B$35,IF(20&lt;18,$B$36,$B$37))</f>
        <v/>
      </c>
      <c r="Y39" s="17">
        <f>IF(21&lt;6,$B$35,IF(21&lt;18,$B$36,$B$37))</f>
        <v/>
      </c>
      <c r="Z39" s="17">
        <f>IF(22&lt;6,$B$35,IF(22&lt;18,$B$36,$B$37))</f>
        <v/>
      </c>
      <c r="AA39" s="17">
        <f>IF(23&lt;6,$B$35,IF(23&lt;18,$B$36,$B$37))</f>
        <v/>
      </c>
      <c r="AB39" s="17">
        <f>IF(24&lt;6,$B$35,IF(24&lt;18,$B$36,$B$37))</f>
        <v/>
      </c>
      <c r="AC39" s="17">
        <f>IF(25&lt;6,$B$35,IF(25&lt;18,$B$36,$B$37))</f>
        <v/>
      </c>
      <c r="AD39" s="17">
        <f>IF(26&lt;6,$B$35,IF(26&lt;18,$B$36,$B$37))</f>
        <v/>
      </c>
      <c r="AE39" s="17">
        <f>IF(27&lt;6,$B$35,IF(27&lt;18,$B$36,$B$37))</f>
        <v/>
      </c>
      <c r="AF39" s="17">
        <f>IF(28&lt;6,$B$35,IF(28&lt;18,$B$36,$B$37))</f>
        <v/>
      </c>
      <c r="AG39" s="17">
        <f>IF(29&lt;6,$B$35,IF(29&lt;18,$B$36,$B$37))</f>
        <v/>
      </c>
      <c r="AH39" s="17">
        <f>IF(30&lt;6,$B$35,IF(30&lt;18,$B$36,$B$37))</f>
        <v/>
      </c>
      <c r="AI39" s="17">
        <f>IF(31&lt;6,$B$35,IF(31&lt;18,$B$36,$B$37))</f>
        <v/>
      </c>
      <c r="AJ39" s="17">
        <f>IF(32&lt;6,$B$35,IF(32&lt;18,$B$36,$B$37))</f>
        <v/>
      </c>
      <c r="AK39" s="17">
        <f>IF(33&lt;6,$B$35,IF(33&lt;18,$B$36,$B$37))</f>
        <v/>
      </c>
      <c r="AL39" s="17">
        <f>IF(34&lt;6,$B$35,IF(34&lt;18,$B$36,$B$37))</f>
        <v/>
      </c>
      <c r="AM39" s="17">
        <f>IF(35&lt;6,$B$35,IF(35&lt;18,$B$36,$B$37))</f>
        <v/>
      </c>
      <c r="AN39" s="17">
        <f>IF(36&lt;6,$B$35,IF(36&lt;18,$B$36,$B$37))</f>
        <v/>
      </c>
      <c r="AO39" s="17">
        <f>IF(37&lt;6,$B$35,IF(37&lt;18,$B$36,$B$37))</f>
        <v/>
      </c>
      <c r="AP39" s="17">
        <f>IF(38&lt;6,$B$35,IF(38&lt;18,$B$36,$B$37))</f>
        <v/>
      </c>
      <c r="AQ39" s="17">
        <f>IF(39&lt;6,$B$35,IF(39&lt;18,$B$36,$B$37))</f>
        <v/>
      </c>
      <c r="AR39" s="17">
        <f>IF(40&lt;6,$B$35,IF(40&lt;18,$B$36,$B$37))</f>
        <v/>
      </c>
      <c r="AS39" s="17">
        <f>IF(41&lt;6,$B$35,IF(41&lt;18,$B$36,$B$37))</f>
        <v/>
      </c>
      <c r="AT39" s="17">
        <f>IF(42&lt;6,$B$35,IF(42&lt;18,$B$36,$B$37))</f>
        <v/>
      </c>
      <c r="AU39" s="17">
        <f>IF(43&lt;6,$B$35,IF(43&lt;18,$B$36,$B$37))</f>
        <v/>
      </c>
      <c r="AV39" s="17">
        <f>IF(44&lt;6,$B$35,IF(44&lt;18,$B$36,$B$37))</f>
        <v/>
      </c>
      <c r="AW39" s="17">
        <f>IF(45&lt;6,$B$35,IF(45&lt;18,$B$36,$B$37))</f>
        <v/>
      </c>
      <c r="AX39" s="17">
        <f>IF(46&lt;6,$B$35,IF(46&lt;18,$B$36,$B$37))</f>
        <v/>
      </c>
      <c r="AY39" s="17">
        <f>IF(47&lt;6,$B$35,IF(47&lt;18,$B$36,$B$37))</f>
        <v/>
      </c>
      <c r="AZ39" s="17">
        <f>IF(48&lt;6,$B$35,IF(48&lt;18,$B$36,$B$37))</f>
        <v/>
      </c>
      <c r="BA39" s="17">
        <f>IF(49&lt;6,$B$35,IF(49&lt;18,$B$36,$B$37))</f>
        <v/>
      </c>
      <c r="BB39" s="17">
        <f>IF(50&lt;6,$B$35,IF(50&lt;18,$B$36,$B$37))</f>
        <v/>
      </c>
      <c r="BC39" s="17">
        <f>IF(51&lt;6,$B$35,IF(51&lt;18,$B$36,$B$37))</f>
        <v/>
      </c>
      <c r="BD39" s="17">
        <f>IF(52&lt;6,$B$35,IF(52&lt;18,$B$36,$B$37))</f>
        <v/>
      </c>
      <c r="BE39" s="17">
        <f>IF(53&lt;6,$B$35,IF(53&lt;18,$B$36,$B$37))</f>
        <v/>
      </c>
      <c r="BF39" s="17">
        <f>IF(54&lt;6,$B$35,IF(54&lt;18,$B$36,$B$37))</f>
        <v/>
      </c>
      <c r="BG39" s="17">
        <f>IF(55&lt;6,$B$35,IF(55&lt;18,$B$36,$B$37))</f>
        <v/>
      </c>
      <c r="BH39" s="17">
        <f>IF(56&lt;6,$B$35,IF(56&lt;18,$B$36,$B$37))</f>
        <v/>
      </c>
      <c r="BI39" s="17">
        <f>IF(57&lt;6,$B$35,IF(57&lt;18,$B$36,$B$37))</f>
        <v/>
      </c>
      <c r="BJ39" s="17">
        <f>IF(58&lt;6,$B$35,IF(58&lt;18,$B$36,$B$37))</f>
        <v/>
      </c>
      <c r="BK39" s="17">
        <f>IF(59&lt;6,$B$35,IF(59&lt;18,$B$36,$B$37))</f>
        <v/>
      </c>
      <c r="BL39" s="17">
        <f>IF(60&lt;6,$B$35,IF(60&lt;18,$B$36,$B$37))</f>
        <v/>
      </c>
      <c r="BM39" s="17">
        <f>IF(61&lt;6,$B$35,IF(61&lt;18,$B$36,$B$37))</f>
        <v/>
      </c>
      <c r="BN39" s="17">
        <f>IF(62&lt;6,$B$35,IF(62&lt;18,$B$36,$B$37))</f>
        <v/>
      </c>
      <c r="BO39" s="17">
        <f>IF(63&lt;6,$B$35,IF(63&lt;18,$B$36,$B$37))</f>
        <v/>
      </c>
      <c r="BP39" s="17">
        <f>IF(64&lt;6,$B$35,IF(64&lt;18,$B$36,$B$37))</f>
        <v/>
      </c>
      <c r="BQ39" s="17">
        <f>IF(65&lt;6,$B$35,IF(65&lt;18,$B$36,$B$37))</f>
        <v/>
      </c>
      <c r="BR39" s="17">
        <f>IF(66&lt;6,$B$35,IF(66&lt;18,$B$36,$B$37))</f>
        <v/>
      </c>
      <c r="BS39" s="17">
        <f>IF(67&lt;6,$B$35,IF(67&lt;18,$B$36,$B$37))</f>
        <v/>
      </c>
      <c r="BT39" s="17">
        <f>IF(68&lt;6,$B$35,IF(68&lt;18,$B$36,$B$37))</f>
        <v/>
      </c>
      <c r="BU39" s="17">
        <f>IF(69&lt;6,$B$35,IF(69&lt;18,$B$36,$B$37))</f>
        <v/>
      </c>
      <c r="BV39" s="17">
        <f>IF(70&lt;6,$B$35,IF(70&lt;18,$B$36,$B$37))</f>
        <v/>
      </c>
      <c r="BW39" s="17">
        <f>IF(71&lt;6,$B$35,IF(71&lt;18,$B$36,$B$37))</f>
        <v/>
      </c>
    </row>
    <row r="41">
      <c r="A41" s="1" t="inlineStr">
        <is>
          <t>Salaries expense</t>
        </is>
      </c>
      <c r="D41" s="17">
        <f>D32*D39</f>
        <v/>
      </c>
      <c r="E41" s="17">
        <f>E32*E39</f>
        <v/>
      </c>
      <c r="F41" s="17">
        <f>F32*F39</f>
        <v/>
      </c>
      <c r="G41" s="17">
        <f>G32*G39</f>
        <v/>
      </c>
      <c r="H41" s="17">
        <f>H32*H39</f>
        <v/>
      </c>
      <c r="I41" s="17">
        <f>I32*I39</f>
        <v/>
      </c>
      <c r="J41" s="17">
        <f>J32*J39</f>
        <v/>
      </c>
      <c r="K41" s="17">
        <f>K32*K39</f>
        <v/>
      </c>
      <c r="L41" s="17">
        <f>L32*L39</f>
        <v/>
      </c>
      <c r="M41" s="17">
        <f>M32*M39</f>
        <v/>
      </c>
      <c r="N41" s="17">
        <f>N32*N39</f>
        <v/>
      </c>
      <c r="O41" s="17">
        <f>O32*O39</f>
        <v/>
      </c>
      <c r="P41" s="17">
        <f>P32*P39</f>
        <v/>
      </c>
      <c r="Q41" s="17">
        <f>Q32*Q39</f>
        <v/>
      </c>
      <c r="R41" s="17">
        <f>R32*R39</f>
        <v/>
      </c>
      <c r="S41" s="17">
        <f>S32*S39</f>
        <v/>
      </c>
      <c r="T41" s="17">
        <f>T32*T39</f>
        <v/>
      </c>
      <c r="U41" s="17">
        <f>U32*U39</f>
        <v/>
      </c>
      <c r="V41" s="17">
        <f>V32*V39</f>
        <v/>
      </c>
      <c r="W41" s="17">
        <f>W32*W39</f>
        <v/>
      </c>
      <c r="X41" s="17">
        <f>X32*X39</f>
        <v/>
      </c>
      <c r="Y41" s="17">
        <f>Y32*Y39</f>
        <v/>
      </c>
      <c r="Z41" s="17">
        <f>Z32*Z39</f>
        <v/>
      </c>
      <c r="AA41" s="17">
        <f>AA32*AA39</f>
        <v/>
      </c>
      <c r="AB41" s="17">
        <f>AB32*AB39</f>
        <v/>
      </c>
      <c r="AC41" s="17">
        <f>AC32*AC39</f>
        <v/>
      </c>
      <c r="AD41" s="17">
        <f>AD32*AD39</f>
        <v/>
      </c>
      <c r="AE41" s="17">
        <f>AE32*AE39</f>
        <v/>
      </c>
      <c r="AF41" s="17">
        <f>AF32*AF39</f>
        <v/>
      </c>
      <c r="AG41" s="17">
        <f>AG32*AG39</f>
        <v/>
      </c>
      <c r="AH41" s="17">
        <f>AH32*AH39</f>
        <v/>
      </c>
      <c r="AI41" s="17">
        <f>AI32*AI39</f>
        <v/>
      </c>
      <c r="AJ41" s="17">
        <f>AJ32*AJ39</f>
        <v/>
      </c>
      <c r="AK41" s="17">
        <f>AK32*AK39</f>
        <v/>
      </c>
      <c r="AL41" s="17">
        <f>AL32*AL39</f>
        <v/>
      </c>
      <c r="AM41" s="17">
        <f>AM32*AM39</f>
        <v/>
      </c>
      <c r="AN41" s="17">
        <f>AN32*AN39</f>
        <v/>
      </c>
      <c r="AO41" s="17">
        <f>AO32*AO39</f>
        <v/>
      </c>
      <c r="AP41" s="17">
        <f>AP32*AP39</f>
        <v/>
      </c>
      <c r="AQ41" s="17">
        <f>AQ32*AQ39</f>
        <v/>
      </c>
      <c r="AR41" s="17">
        <f>AR32*AR39</f>
        <v/>
      </c>
      <c r="AS41" s="17">
        <f>AS32*AS39</f>
        <v/>
      </c>
      <c r="AT41" s="17">
        <f>AT32*AT39</f>
        <v/>
      </c>
      <c r="AU41" s="17">
        <f>AU32*AU39</f>
        <v/>
      </c>
      <c r="AV41" s="17">
        <f>AV32*AV39</f>
        <v/>
      </c>
      <c r="AW41" s="17">
        <f>AW32*AW39</f>
        <v/>
      </c>
      <c r="AX41" s="17">
        <f>AX32*AX39</f>
        <v/>
      </c>
      <c r="AY41" s="17">
        <f>AY32*AY39</f>
        <v/>
      </c>
      <c r="AZ41" s="17">
        <f>AZ32*AZ39</f>
        <v/>
      </c>
      <c r="BA41" s="17">
        <f>BA32*BA39</f>
        <v/>
      </c>
      <c r="BB41" s="17">
        <f>BB32*BB39</f>
        <v/>
      </c>
      <c r="BC41" s="17">
        <f>BC32*BC39</f>
        <v/>
      </c>
      <c r="BD41" s="17">
        <f>BD32*BD39</f>
        <v/>
      </c>
      <c r="BE41" s="17">
        <f>BE32*BE39</f>
        <v/>
      </c>
      <c r="BF41" s="17">
        <f>BF32*BF39</f>
        <v/>
      </c>
      <c r="BG41" s="17">
        <f>BG32*BG39</f>
        <v/>
      </c>
      <c r="BH41" s="17">
        <f>BH32*BH39</f>
        <v/>
      </c>
      <c r="BI41" s="17">
        <f>BI32*BI39</f>
        <v/>
      </c>
      <c r="BJ41" s="17">
        <f>BJ32*BJ39</f>
        <v/>
      </c>
      <c r="BK41" s="17">
        <f>BK32*BK39</f>
        <v/>
      </c>
      <c r="BL41" s="17">
        <f>BL32*BL39</f>
        <v/>
      </c>
      <c r="BM41" s="17">
        <f>BM32*BM39</f>
        <v/>
      </c>
      <c r="BN41" s="17">
        <f>BN32*BN39</f>
        <v/>
      </c>
      <c r="BO41" s="17">
        <f>BO32*BO39</f>
        <v/>
      </c>
      <c r="BP41" s="17">
        <f>BP32*BP39</f>
        <v/>
      </c>
      <c r="BQ41" s="17">
        <f>BQ32*BQ39</f>
        <v/>
      </c>
      <c r="BR41" s="17">
        <f>BR32*BR39</f>
        <v/>
      </c>
      <c r="BS41" s="17">
        <f>BS32*BS39</f>
        <v/>
      </c>
      <c r="BT41" s="17">
        <f>BT32*BT39</f>
        <v/>
      </c>
      <c r="BU41" s="17">
        <f>BU32*BU39</f>
        <v/>
      </c>
      <c r="BV41" s="17">
        <f>BV32*BV39</f>
        <v/>
      </c>
      <c r="BW41" s="17">
        <f>BW32*BW39</f>
        <v/>
      </c>
    </row>
    <row r="42">
      <c r="A42" t="inlineStr">
        <is>
          <t>+ Payroll taxes</t>
        </is>
      </c>
      <c r="D42" s="17">
        <f>D41*Assumptions!$B$12</f>
        <v/>
      </c>
      <c r="E42" s="17">
        <f>E41*Assumptions!$B$12</f>
        <v/>
      </c>
      <c r="F42" s="17">
        <f>F41*Assumptions!$B$12</f>
        <v/>
      </c>
      <c r="G42" s="17">
        <f>G41*Assumptions!$B$12</f>
        <v/>
      </c>
      <c r="H42" s="17">
        <f>H41*Assumptions!$B$12</f>
        <v/>
      </c>
      <c r="I42" s="17">
        <f>I41*Assumptions!$B$12</f>
        <v/>
      </c>
      <c r="J42" s="17">
        <f>J41*Assumptions!$B$12</f>
        <v/>
      </c>
      <c r="K42" s="17">
        <f>K41*Assumptions!$B$12</f>
        <v/>
      </c>
      <c r="L42" s="17">
        <f>L41*Assumptions!$B$12</f>
        <v/>
      </c>
      <c r="M42" s="17">
        <f>M41*Assumptions!$B$12</f>
        <v/>
      </c>
      <c r="N42" s="17">
        <f>N41*Assumptions!$B$12</f>
        <v/>
      </c>
      <c r="O42" s="17">
        <f>O41*Assumptions!$B$12</f>
        <v/>
      </c>
      <c r="P42" s="17">
        <f>P41*Assumptions!$B$12</f>
        <v/>
      </c>
      <c r="Q42" s="17">
        <f>Q41*Assumptions!$B$12</f>
        <v/>
      </c>
      <c r="R42" s="17">
        <f>R41*Assumptions!$B$12</f>
        <v/>
      </c>
      <c r="S42" s="17">
        <f>S41*Assumptions!$B$12</f>
        <v/>
      </c>
      <c r="T42" s="17">
        <f>T41*Assumptions!$B$12</f>
        <v/>
      </c>
      <c r="U42" s="17">
        <f>U41*Assumptions!$B$12</f>
        <v/>
      </c>
      <c r="V42" s="17">
        <f>V41*Assumptions!$B$12</f>
        <v/>
      </c>
      <c r="W42" s="17">
        <f>W41*Assumptions!$B$12</f>
        <v/>
      </c>
      <c r="X42" s="17">
        <f>X41*Assumptions!$B$12</f>
        <v/>
      </c>
      <c r="Y42" s="17">
        <f>Y41*Assumptions!$B$12</f>
        <v/>
      </c>
      <c r="Z42" s="17">
        <f>Z41*Assumptions!$B$12</f>
        <v/>
      </c>
      <c r="AA42" s="17">
        <f>AA41*Assumptions!$B$12</f>
        <v/>
      </c>
      <c r="AB42" s="17">
        <f>AB41*Assumptions!$B$12</f>
        <v/>
      </c>
      <c r="AC42" s="17">
        <f>AC41*Assumptions!$B$12</f>
        <v/>
      </c>
      <c r="AD42" s="17">
        <f>AD41*Assumptions!$B$12</f>
        <v/>
      </c>
      <c r="AE42" s="17">
        <f>AE41*Assumptions!$B$12</f>
        <v/>
      </c>
      <c r="AF42" s="17">
        <f>AF41*Assumptions!$B$12</f>
        <v/>
      </c>
      <c r="AG42" s="17">
        <f>AG41*Assumptions!$B$12</f>
        <v/>
      </c>
      <c r="AH42" s="17">
        <f>AH41*Assumptions!$B$12</f>
        <v/>
      </c>
      <c r="AI42" s="17">
        <f>AI41*Assumptions!$B$12</f>
        <v/>
      </c>
      <c r="AJ42" s="17">
        <f>AJ41*Assumptions!$B$12</f>
        <v/>
      </c>
      <c r="AK42" s="17">
        <f>AK41*Assumptions!$B$12</f>
        <v/>
      </c>
      <c r="AL42" s="17">
        <f>AL41*Assumptions!$B$12</f>
        <v/>
      </c>
      <c r="AM42" s="17">
        <f>AM41*Assumptions!$B$12</f>
        <v/>
      </c>
      <c r="AN42" s="17">
        <f>AN41*Assumptions!$B$12</f>
        <v/>
      </c>
      <c r="AO42" s="17">
        <f>AO41*Assumptions!$B$12</f>
        <v/>
      </c>
      <c r="AP42" s="17">
        <f>AP41*Assumptions!$B$12</f>
        <v/>
      </c>
      <c r="AQ42" s="17">
        <f>AQ41*Assumptions!$B$12</f>
        <v/>
      </c>
      <c r="AR42" s="17">
        <f>AR41*Assumptions!$B$12</f>
        <v/>
      </c>
      <c r="AS42" s="17">
        <f>AS41*Assumptions!$B$12</f>
        <v/>
      </c>
      <c r="AT42" s="17">
        <f>AT41*Assumptions!$B$12</f>
        <v/>
      </c>
      <c r="AU42" s="17">
        <f>AU41*Assumptions!$B$12</f>
        <v/>
      </c>
      <c r="AV42" s="17">
        <f>AV41*Assumptions!$B$12</f>
        <v/>
      </c>
      <c r="AW42" s="17">
        <f>AW41*Assumptions!$B$12</f>
        <v/>
      </c>
      <c r="AX42" s="17">
        <f>AX41*Assumptions!$B$12</f>
        <v/>
      </c>
      <c r="AY42" s="17">
        <f>AY41*Assumptions!$B$12</f>
        <v/>
      </c>
      <c r="AZ42" s="17">
        <f>AZ41*Assumptions!$B$12</f>
        <v/>
      </c>
      <c r="BA42" s="17">
        <f>BA41*Assumptions!$B$12</f>
        <v/>
      </c>
      <c r="BB42" s="17">
        <f>BB41*Assumptions!$B$12</f>
        <v/>
      </c>
      <c r="BC42" s="17">
        <f>BC41*Assumptions!$B$12</f>
        <v/>
      </c>
      <c r="BD42" s="17">
        <f>BD41*Assumptions!$B$12</f>
        <v/>
      </c>
      <c r="BE42" s="17">
        <f>BE41*Assumptions!$B$12</f>
        <v/>
      </c>
      <c r="BF42" s="17">
        <f>BF41*Assumptions!$B$12</f>
        <v/>
      </c>
      <c r="BG42" s="17">
        <f>BG41*Assumptions!$B$12</f>
        <v/>
      </c>
      <c r="BH42" s="17">
        <f>BH41*Assumptions!$B$12</f>
        <v/>
      </c>
      <c r="BI42" s="17">
        <f>BI41*Assumptions!$B$12</f>
        <v/>
      </c>
      <c r="BJ42" s="17">
        <f>BJ41*Assumptions!$B$12</f>
        <v/>
      </c>
      <c r="BK42" s="17">
        <f>BK41*Assumptions!$B$12</f>
        <v/>
      </c>
      <c r="BL42" s="17">
        <f>BL41*Assumptions!$B$12</f>
        <v/>
      </c>
      <c r="BM42" s="17">
        <f>BM41*Assumptions!$B$12</f>
        <v/>
      </c>
      <c r="BN42" s="17">
        <f>BN41*Assumptions!$B$12</f>
        <v/>
      </c>
      <c r="BO42" s="17">
        <f>BO41*Assumptions!$B$12</f>
        <v/>
      </c>
      <c r="BP42" s="17">
        <f>BP41*Assumptions!$B$12</f>
        <v/>
      </c>
      <c r="BQ42" s="17">
        <f>BQ41*Assumptions!$B$12</f>
        <v/>
      </c>
      <c r="BR42" s="17">
        <f>BR41*Assumptions!$B$12</f>
        <v/>
      </c>
      <c r="BS42" s="17">
        <f>BS41*Assumptions!$B$12</f>
        <v/>
      </c>
      <c r="BT42" s="17">
        <f>BT41*Assumptions!$B$12</f>
        <v/>
      </c>
      <c r="BU42" s="17">
        <f>BU41*Assumptions!$B$12</f>
        <v/>
      </c>
      <c r="BV42" s="17">
        <f>BV41*Assumptions!$B$12</f>
        <v/>
      </c>
      <c r="BW42" s="17">
        <f>BW41*Assumptions!$B$12</f>
        <v/>
      </c>
    </row>
    <row r="43">
      <c r="A43" t="inlineStr">
        <is>
          <t>+ Benefits</t>
        </is>
      </c>
      <c r="D43" s="17">
        <f>D41*Assumptions!$B$13</f>
        <v/>
      </c>
      <c r="E43" s="17">
        <f>E41*Assumptions!$B$13</f>
        <v/>
      </c>
      <c r="F43" s="17">
        <f>F41*Assumptions!$B$13</f>
        <v/>
      </c>
      <c r="G43" s="17">
        <f>G41*Assumptions!$B$13</f>
        <v/>
      </c>
      <c r="H43" s="17">
        <f>H41*Assumptions!$B$13</f>
        <v/>
      </c>
      <c r="I43" s="17">
        <f>I41*Assumptions!$B$13</f>
        <v/>
      </c>
      <c r="J43" s="17">
        <f>J41*Assumptions!$B$13</f>
        <v/>
      </c>
      <c r="K43" s="17">
        <f>K41*Assumptions!$B$13</f>
        <v/>
      </c>
      <c r="L43" s="17">
        <f>L41*Assumptions!$B$13</f>
        <v/>
      </c>
      <c r="M43" s="17">
        <f>M41*Assumptions!$B$13</f>
        <v/>
      </c>
      <c r="N43" s="17">
        <f>N41*Assumptions!$B$13</f>
        <v/>
      </c>
      <c r="O43" s="17">
        <f>O41*Assumptions!$B$13</f>
        <v/>
      </c>
      <c r="P43" s="17">
        <f>P41*Assumptions!$B$13</f>
        <v/>
      </c>
      <c r="Q43" s="17">
        <f>Q41*Assumptions!$B$13</f>
        <v/>
      </c>
      <c r="R43" s="17">
        <f>R41*Assumptions!$B$13</f>
        <v/>
      </c>
      <c r="S43" s="17">
        <f>S41*Assumptions!$B$13</f>
        <v/>
      </c>
      <c r="T43" s="17">
        <f>T41*Assumptions!$B$13</f>
        <v/>
      </c>
      <c r="U43" s="17">
        <f>U41*Assumptions!$B$13</f>
        <v/>
      </c>
      <c r="V43" s="17">
        <f>V41*Assumptions!$B$13</f>
        <v/>
      </c>
      <c r="W43" s="17">
        <f>W41*Assumptions!$B$13</f>
        <v/>
      </c>
      <c r="X43" s="17">
        <f>X41*Assumptions!$B$13</f>
        <v/>
      </c>
      <c r="Y43" s="17">
        <f>Y41*Assumptions!$B$13</f>
        <v/>
      </c>
      <c r="Z43" s="17">
        <f>Z41*Assumptions!$B$13</f>
        <v/>
      </c>
      <c r="AA43" s="17">
        <f>AA41*Assumptions!$B$13</f>
        <v/>
      </c>
      <c r="AB43" s="17">
        <f>AB41*Assumptions!$B$13</f>
        <v/>
      </c>
      <c r="AC43" s="17">
        <f>AC41*Assumptions!$B$13</f>
        <v/>
      </c>
      <c r="AD43" s="17">
        <f>AD41*Assumptions!$B$13</f>
        <v/>
      </c>
      <c r="AE43" s="17">
        <f>AE41*Assumptions!$B$13</f>
        <v/>
      </c>
      <c r="AF43" s="17">
        <f>AF41*Assumptions!$B$13</f>
        <v/>
      </c>
      <c r="AG43" s="17">
        <f>AG41*Assumptions!$B$13</f>
        <v/>
      </c>
      <c r="AH43" s="17">
        <f>AH41*Assumptions!$B$13</f>
        <v/>
      </c>
      <c r="AI43" s="17">
        <f>AI41*Assumptions!$B$13</f>
        <v/>
      </c>
      <c r="AJ43" s="17">
        <f>AJ41*Assumptions!$B$13</f>
        <v/>
      </c>
      <c r="AK43" s="17">
        <f>AK41*Assumptions!$B$13</f>
        <v/>
      </c>
      <c r="AL43" s="17">
        <f>AL41*Assumptions!$B$13</f>
        <v/>
      </c>
      <c r="AM43" s="17">
        <f>AM41*Assumptions!$B$13</f>
        <v/>
      </c>
      <c r="AN43" s="17">
        <f>AN41*Assumptions!$B$13</f>
        <v/>
      </c>
      <c r="AO43" s="17">
        <f>AO41*Assumptions!$B$13</f>
        <v/>
      </c>
      <c r="AP43" s="17">
        <f>AP41*Assumptions!$B$13</f>
        <v/>
      </c>
      <c r="AQ43" s="17">
        <f>AQ41*Assumptions!$B$13</f>
        <v/>
      </c>
      <c r="AR43" s="17">
        <f>AR41*Assumptions!$B$13</f>
        <v/>
      </c>
      <c r="AS43" s="17">
        <f>AS41*Assumptions!$B$13</f>
        <v/>
      </c>
      <c r="AT43" s="17">
        <f>AT41*Assumptions!$B$13</f>
        <v/>
      </c>
      <c r="AU43" s="17">
        <f>AU41*Assumptions!$B$13</f>
        <v/>
      </c>
      <c r="AV43" s="17">
        <f>AV41*Assumptions!$B$13</f>
        <v/>
      </c>
      <c r="AW43" s="17">
        <f>AW41*Assumptions!$B$13</f>
        <v/>
      </c>
      <c r="AX43" s="17">
        <f>AX41*Assumptions!$B$13</f>
        <v/>
      </c>
      <c r="AY43" s="17">
        <f>AY41*Assumptions!$B$13</f>
        <v/>
      </c>
      <c r="AZ43" s="17">
        <f>AZ41*Assumptions!$B$13</f>
        <v/>
      </c>
      <c r="BA43" s="17">
        <f>BA41*Assumptions!$B$13</f>
        <v/>
      </c>
      <c r="BB43" s="17">
        <f>BB41*Assumptions!$B$13</f>
        <v/>
      </c>
      <c r="BC43" s="17">
        <f>BC41*Assumptions!$B$13</f>
        <v/>
      </c>
      <c r="BD43" s="17">
        <f>BD41*Assumptions!$B$13</f>
        <v/>
      </c>
      <c r="BE43" s="17">
        <f>BE41*Assumptions!$B$13</f>
        <v/>
      </c>
      <c r="BF43" s="17">
        <f>BF41*Assumptions!$B$13</f>
        <v/>
      </c>
      <c r="BG43" s="17">
        <f>BG41*Assumptions!$B$13</f>
        <v/>
      </c>
      <c r="BH43" s="17">
        <f>BH41*Assumptions!$B$13</f>
        <v/>
      </c>
      <c r="BI43" s="17">
        <f>BI41*Assumptions!$B$13</f>
        <v/>
      </c>
      <c r="BJ43" s="17">
        <f>BJ41*Assumptions!$B$13</f>
        <v/>
      </c>
      <c r="BK43" s="17">
        <f>BK41*Assumptions!$B$13</f>
        <v/>
      </c>
      <c r="BL43" s="17">
        <f>BL41*Assumptions!$B$13</f>
        <v/>
      </c>
      <c r="BM43" s="17">
        <f>BM41*Assumptions!$B$13</f>
        <v/>
      </c>
      <c r="BN43" s="17">
        <f>BN41*Assumptions!$B$13</f>
        <v/>
      </c>
      <c r="BO43" s="17">
        <f>BO41*Assumptions!$B$13</f>
        <v/>
      </c>
      <c r="BP43" s="17">
        <f>BP41*Assumptions!$B$13</f>
        <v/>
      </c>
      <c r="BQ43" s="17">
        <f>BQ41*Assumptions!$B$13</f>
        <v/>
      </c>
      <c r="BR43" s="17">
        <f>BR41*Assumptions!$B$13</f>
        <v/>
      </c>
      <c r="BS43" s="17">
        <f>BS41*Assumptions!$B$13</f>
        <v/>
      </c>
      <c r="BT43" s="17">
        <f>BT41*Assumptions!$B$13</f>
        <v/>
      </c>
      <c r="BU43" s="17">
        <f>BU41*Assumptions!$B$13</f>
        <v/>
      </c>
      <c r="BV43" s="17">
        <f>BV41*Assumptions!$B$13</f>
        <v/>
      </c>
      <c r="BW43" s="17">
        <f>BW41*Assumptions!$B$13</f>
        <v/>
      </c>
    </row>
    <row r="44">
      <c r="A44" s="1" t="inlineStr">
        <is>
          <t>Total comp expense</t>
        </is>
      </c>
      <c r="D44" s="101">
        <f>SUM(D41:D43)</f>
        <v/>
      </c>
      <c r="E44" s="101">
        <f>SUM(E41:E43)</f>
        <v/>
      </c>
      <c r="F44" s="101">
        <f>SUM(F41:F43)</f>
        <v/>
      </c>
      <c r="G44" s="101">
        <f>SUM(G41:G43)</f>
        <v/>
      </c>
      <c r="H44" s="101">
        <f>SUM(H41:H43)</f>
        <v/>
      </c>
      <c r="I44" s="101">
        <f>SUM(I41:I43)</f>
        <v/>
      </c>
      <c r="J44" s="101">
        <f>SUM(J41:J43)</f>
        <v/>
      </c>
      <c r="K44" s="101">
        <f>SUM(K41:K43)</f>
        <v/>
      </c>
      <c r="L44" s="101">
        <f>SUM(L41:L43)</f>
        <v/>
      </c>
      <c r="M44" s="101">
        <f>SUM(M41:M43)</f>
        <v/>
      </c>
      <c r="N44" s="101">
        <f>SUM(N41:N43)</f>
        <v/>
      </c>
      <c r="O44" s="101">
        <f>SUM(O41:O43)</f>
        <v/>
      </c>
      <c r="P44" s="101">
        <f>SUM(P41:P43)</f>
        <v/>
      </c>
      <c r="Q44" s="101">
        <f>SUM(Q41:Q43)</f>
        <v/>
      </c>
      <c r="R44" s="101">
        <f>SUM(R41:R43)</f>
        <v/>
      </c>
      <c r="S44" s="101">
        <f>SUM(S41:S43)</f>
        <v/>
      </c>
      <c r="T44" s="101">
        <f>SUM(T41:T43)</f>
        <v/>
      </c>
      <c r="U44" s="101">
        <f>SUM(U41:U43)</f>
        <v/>
      </c>
      <c r="V44" s="101">
        <f>SUM(V41:V43)</f>
        <v/>
      </c>
      <c r="W44" s="101">
        <f>SUM(W41:W43)</f>
        <v/>
      </c>
      <c r="X44" s="101">
        <f>SUM(X41:X43)</f>
        <v/>
      </c>
      <c r="Y44" s="101">
        <f>SUM(Y41:Y43)</f>
        <v/>
      </c>
      <c r="Z44" s="101">
        <f>SUM(Z41:Z43)</f>
        <v/>
      </c>
      <c r="AA44" s="101">
        <f>SUM(AA41:AA43)</f>
        <v/>
      </c>
      <c r="AB44" s="101">
        <f>SUM(AB41:AB43)</f>
        <v/>
      </c>
      <c r="AC44" s="101">
        <f>SUM(AC41:AC43)</f>
        <v/>
      </c>
      <c r="AD44" s="101">
        <f>SUM(AD41:AD43)</f>
        <v/>
      </c>
      <c r="AE44" s="101">
        <f>SUM(AE41:AE43)</f>
        <v/>
      </c>
      <c r="AF44" s="101">
        <f>SUM(AF41:AF43)</f>
        <v/>
      </c>
      <c r="AG44" s="101">
        <f>SUM(AG41:AG43)</f>
        <v/>
      </c>
      <c r="AH44" s="101">
        <f>SUM(AH41:AH43)</f>
        <v/>
      </c>
      <c r="AI44" s="101">
        <f>SUM(AI41:AI43)</f>
        <v/>
      </c>
      <c r="AJ44" s="101">
        <f>SUM(AJ41:AJ43)</f>
        <v/>
      </c>
      <c r="AK44" s="101">
        <f>SUM(AK41:AK43)</f>
        <v/>
      </c>
      <c r="AL44" s="101">
        <f>SUM(AL41:AL43)</f>
        <v/>
      </c>
      <c r="AM44" s="101">
        <f>SUM(AM41:AM43)</f>
        <v/>
      </c>
      <c r="AN44" s="101">
        <f>SUM(AN41:AN43)</f>
        <v/>
      </c>
      <c r="AO44" s="101">
        <f>SUM(AO41:AO43)</f>
        <v/>
      </c>
      <c r="AP44" s="101">
        <f>SUM(AP41:AP43)</f>
        <v/>
      </c>
      <c r="AQ44" s="101">
        <f>SUM(AQ41:AQ43)</f>
        <v/>
      </c>
      <c r="AR44" s="101">
        <f>SUM(AR41:AR43)</f>
        <v/>
      </c>
      <c r="AS44" s="101">
        <f>SUM(AS41:AS43)</f>
        <v/>
      </c>
      <c r="AT44" s="101">
        <f>SUM(AT41:AT43)</f>
        <v/>
      </c>
      <c r="AU44" s="101">
        <f>SUM(AU41:AU43)</f>
        <v/>
      </c>
      <c r="AV44" s="101">
        <f>SUM(AV41:AV43)</f>
        <v/>
      </c>
      <c r="AW44" s="101">
        <f>SUM(AW41:AW43)</f>
        <v/>
      </c>
      <c r="AX44" s="101">
        <f>SUM(AX41:AX43)</f>
        <v/>
      </c>
      <c r="AY44" s="101">
        <f>SUM(AY41:AY43)</f>
        <v/>
      </c>
      <c r="AZ44" s="101">
        <f>SUM(AZ41:AZ43)</f>
        <v/>
      </c>
      <c r="BA44" s="101">
        <f>SUM(BA41:BA43)</f>
        <v/>
      </c>
      <c r="BB44" s="101">
        <f>SUM(BB41:BB43)</f>
        <v/>
      </c>
      <c r="BC44" s="101">
        <f>SUM(BC41:BC43)</f>
        <v/>
      </c>
      <c r="BD44" s="101">
        <f>SUM(BD41:BD43)</f>
        <v/>
      </c>
      <c r="BE44" s="101">
        <f>SUM(BE41:BE43)</f>
        <v/>
      </c>
      <c r="BF44" s="101">
        <f>SUM(BF41:BF43)</f>
        <v/>
      </c>
      <c r="BG44" s="101">
        <f>SUM(BG41:BG43)</f>
        <v/>
      </c>
      <c r="BH44" s="101">
        <f>SUM(BH41:BH43)</f>
        <v/>
      </c>
      <c r="BI44" s="101">
        <f>SUM(BI41:BI43)</f>
        <v/>
      </c>
      <c r="BJ44" s="101">
        <f>SUM(BJ41:BJ43)</f>
        <v/>
      </c>
      <c r="BK44" s="101">
        <f>SUM(BK41:BK43)</f>
        <v/>
      </c>
      <c r="BL44" s="101">
        <f>SUM(BL41:BL43)</f>
        <v/>
      </c>
      <c r="BM44" s="101">
        <f>SUM(BM41:BM43)</f>
        <v/>
      </c>
      <c r="BN44" s="101">
        <f>SUM(BN41:BN43)</f>
        <v/>
      </c>
      <c r="BO44" s="101">
        <f>SUM(BO41:BO43)</f>
        <v/>
      </c>
      <c r="BP44" s="101">
        <f>SUM(BP41:BP43)</f>
        <v/>
      </c>
      <c r="BQ44" s="101">
        <f>SUM(BQ41:BQ43)</f>
        <v/>
      </c>
      <c r="BR44" s="101">
        <f>SUM(BR41:BR43)</f>
        <v/>
      </c>
      <c r="BS44" s="101">
        <f>SUM(BS41:BS43)</f>
        <v/>
      </c>
      <c r="BT44" s="101">
        <f>SUM(BT41:BT43)</f>
        <v/>
      </c>
      <c r="BU44" s="101">
        <f>SUM(BU41:BU43)</f>
        <v/>
      </c>
      <c r="BV44" s="101">
        <f>SUM(BV41:BV43)</f>
        <v/>
      </c>
      <c r="BW44" s="101">
        <f>SUM(BW41:BW43)</f>
        <v/>
      </c>
    </row>
  </sheetData>
  <mergeCells count="4">
    <mergeCell ref="A34:H34"/>
    <mergeCell ref="A30:H30"/>
    <mergeCell ref="A5:H5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/>
  </sheetPr>
  <dimension ref="A1:BW21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0" customWidth="1" style="50" min="1" max="1"/>
    <col width="14" customWidth="1" style="50" min="2" max="2"/>
    <col width="11" customWidth="1" style="50" min="4" max="75"/>
  </cols>
  <sheetData>
    <row r="1" ht="24" customHeight="1" s="50">
      <c r="A1" s="95" t="inlineStr">
        <is>
          <t>SG&amp;A — Detailed Line Items</t>
        </is>
      </c>
    </row>
    <row r="2">
      <c r="A2" s="5" t="inlineStr">
        <is>
          <t>V50 SG&amp;A breakout. Monthly base values × inflation (Assumptions!B10).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6">
      <c r="A6" t="inlineStr">
        <is>
          <t>Bank Fees</t>
        </is>
      </c>
      <c r="B6" s="14" t="n">
        <v>3000</v>
      </c>
      <c r="D6" s="17">
        <f>$B6*(1+Assumptions!$B$10)^0</f>
        <v/>
      </c>
      <c r="E6" s="17">
        <f>$B6*(1+Assumptions!$B$10)^0</f>
        <v/>
      </c>
      <c r="F6" s="17">
        <f>$B6*(1+Assumptions!$B$10)^0</f>
        <v/>
      </c>
      <c r="G6" s="17">
        <f>$B6*(1+Assumptions!$B$10)^0</f>
        <v/>
      </c>
      <c r="H6" s="17">
        <f>$B6*(1+Assumptions!$B$10)^0</f>
        <v/>
      </c>
      <c r="I6" s="17">
        <f>$B6*(1+Assumptions!$B$10)^0</f>
        <v/>
      </c>
      <c r="J6" s="17">
        <f>$B6*(1+Assumptions!$B$10)^0</f>
        <v/>
      </c>
      <c r="K6" s="17">
        <f>$B6*(1+Assumptions!$B$10)^0</f>
        <v/>
      </c>
      <c r="L6" s="17">
        <f>$B6*(1+Assumptions!$B$10)^0</f>
        <v/>
      </c>
      <c r="M6" s="17">
        <f>$B6*(1+Assumptions!$B$10)^0</f>
        <v/>
      </c>
      <c r="N6" s="17">
        <f>$B6*(1+Assumptions!$B$10)^0</f>
        <v/>
      </c>
      <c r="O6" s="17">
        <f>$B6*(1+Assumptions!$B$10)^0</f>
        <v/>
      </c>
      <c r="P6" s="17">
        <f>$B6*(1+Assumptions!$B$10)^1</f>
        <v/>
      </c>
      <c r="Q6" s="17">
        <f>$B6*(1+Assumptions!$B$10)^1</f>
        <v/>
      </c>
      <c r="R6" s="17">
        <f>$B6*(1+Assumptions!$B$10)^1</f>
        <v/>
      </c>
      <c r="S6" s="17">
        <f>$B6*(1+Assumptions!$B$10)^1</f>
        <v/>
      </c>
      <c r="T6" s="17">
        <f>$B6*(1+Assumptions!$B$10)^1</f>
        <v/>
      </c>
      <c r="U6" s="17">
        <f>$B6*(1+Assumptions!$B$10)^1</f>
        <v/>
      </c>
      <c r="V6" s="17">
        <f>$B6*(1+Assumptions!$B$10)^1</f>
        <v/>
      </c>
      <c r="W6" s="17">
        <f>$B6*(1+Assumptions!$B$10)^1</f>
        <v/>
      </c>
      <c r="X6" s="17">
        <f>$B6*(1+Assumptions!$B$10)^1</f>
        <v/>
      </c>
      <c r="Y6" s="17">
        <f>$B6*(1+Assumptions!$B$10)^1</f>
        <v/>
      </c>
      <c r="Z6" s="17">
        <f>$B6*(1+Assumptions!$B$10)^1</f>
        <v/>
      </c>
      <c r="AA6" s="17">
        <f>$B6*(1+Assumptions!$B$10)^1</f>
        <v/>
      </c>
      <c r="AB6" s="17">
        <f>$B6*(1+Assumptions!$B$10)^2</f>
        <v/>
      </c>
      <c r="AC6" s="17">
        <f>$B6*(1+Assumptions!$B$10)^2</f>
        <v/>
      </c>
      <c r="AD6" s="17">
        <f>$B6*(1+Assumptions!$B$10)^2</f>
        <v/>
      </c>
      <c r="AE6" s="17">
        <f>$B6*(1+Assumptions!$B$10)^2</f>
        <v/>
      </c>
      <c r="AF6" s="17">
        <f>$B6*(1+Assumptions!$B$10)^2</f>
        <v/>
      </c>
      <c r="AG6" s="17">
        <f>$B6*(1+Assumptions!$B$10)^2</f>
        <v/>
      </c>
      <c r="AH6" s="17">
        <f>$B6*(1+Assumptions!$B$10)^2</f>
        <v/>
      </c>
      <c r="AI6" s="17">
        <f>$B6*(1+Assumptions!$B$10)^2</f>
        <v/>
      </c>
      <c r="AJ6" s="17">
        <f>$B6*(1+Assumptions!$B$10)^2</f>
        <v/>
      </c>
      <c r="AK6" s="17">
        <f>$B6*(1+Assumptions!$B$10)^2</f>
        <v/>
      </c>
      <c r="AL6" s="17">
        <f>$B6*(1+Assumptions!$B$10)^2</f>
        <v/>
      </c>
      <c r="AM6" s="17">
        <f>$B6*(1+Assumptions!$B$10)^2</f>
        <v/>
      </c>
      <c r="AN6" s="17">
        <f>$B6*(1+Assumptions!$B$10)^3</f>
        <v/>
      </c>
      <c r="AO6" s="17">
        <f>$B6*(1+Assumptions!$B$10)^3</f>
        <v/>
      </c>
      <c r="AP6" s="17">
        <f>$B6*(1+Assumptions!$B$10)^3</f>
        <v/>
      </c>
      <c r="AQ6" s="17">
        <f>$B6*(1+Assumptions!$B$10)^3</f>
        <v/>
      </c>
      <c r="AR6" s="17">
        <f>$B6*(1+Assumptions!$B$10)^3</f>
        <v/>
      </c>
      <c r="AS6" s="17">
        <f>$B6*(1+Assumptions!$B$10)^3</f>
        <v/>
      </c>
      <c r="AT6" s="17">
        <f>$B6*(1+Assumptions!$B$10)^3</f>
        <v/>
      </c>
      <c r="AU6" s="17">
        <f>$B6*(1+Assumptions!$B$10)^3</f>
        <v/>
      </c>
      <c r="AV6" s="17">
        <f>$B6*(1+Assumptions!$B$10)^3</f>
        <v/>
      </c>
      <c r="AW6" s="17">
        <f>$B6*(1+Assumptions!$B$10)^3</f>
        <v/>
      </c>
      <c r="AX6" s="17">
        <f>$B6*(1+Assumptions!$B$10)^3</f>
        <v/>
      </c>
      <c r="AY6" s="17">
        <f>$B6*(1+Assumptions!$B$10)^3</f>
        <v/>
      </c>
      <c r="AZ6" s="17">
        <f>$B6*(1+Assumptions!$B$10)^4</f>
        <v/>
      </c>
      <c r="BA6" s="17">
        <f>$B6*(1+Assumptions!$B$10)^4</f>
        <v/>
      </c>
      <c r="BB6" s="17">
        <f>$B6*(1+Assumptions!$B$10)^4</f>
        <v/>
      </c>
      <c r="BC6" s="17">
        <f>$B6*(1+Assumptions!$B$10)^4</f>
        <v/>
      </c>
      <c r="BD6" s="17">
        <f>$B6*(1+Assumptions!$B$10)^4</f>
        <v/>
      </c>
      <c r="BE6" s="17">
        <f>$B6*(1+Assumptions!$B$10)^4</f>
        <v/>
      </c>
      <c r="BF6" s="17">
        <f>$B6*(1+Assumptions!$B$10)^4</f>
        <v/>
      </c>
      <c r="BG6" s="17">
        <f>$B6*(1+Assumptions!$B$10)^4</f>
        <v/>
      </c>
      <c r="BH6" s="17">
        <f>$B6*(1+Assumptions!$B$10)^4</f>
        <v/>
      </c>
      <c r="BI6" s="17">
        <f>$B6*(1+Assumptions!$B$10)^4</f>
        <v/>
      </c>
      <c r="BJ6" s="17">
        <f>$B6*(1+Assumptions!$B$10)^4</f>
        <v/>
      </c>
      <c r="BK6" s="17">
        <f>$B6*(1+Assumptions!$B$10)^4</f>
        <v/>
      </c>
      <c r="BL6" s="17">
        <f>$B6*(1+Assumptions!$B$10)^5</f>
        <v/>
      </c>
      <c r="BM6" s="17">
        <f>$B6*(1+Assumptions!$B$10)^5</f>
        <v/>
      </c>
      <c r="BN6" s="17">
        <f>$B6*(1+Assumptions!$B$10)^5</f>
        <v/>
      </c>
      <c r="BO6" s="17">
        <f>$B6*(1+Assumptions!$B$10)^5</f>
        <v/>
      </c>
      <c r="BP6" s="17">
        <f>$B6*(1+Assumptions!$B$10)^5</f>
        <v/>
      </c>
      <c r="BQ6" s="17">
        <f>$B6*(1+Assumptions!$B$10)^5</f>
        <v/>
      </c>
      <c r="BR6" s="17">
        <f>$B6*(1+Assumptions!$B$10)^5</f>
        <v/>
      </c>
      <c r="BS6" s="17">
        <f>$B6*(1+Assumptions!$B$10)^5</f>
        <v/>
      </c>
      <c r="BT6" s="17">
        <f>$B6*(1+Assumptions!$B$10)^5</f>
        <v/>
      </c>
      <c r="BU6" s="17">
        <f>$B6*(1+Assumptions!$B$10)^5</f>
        <v/>
      </c>
      <c r="BV6" s="17">
        <f>$B6*(1+Assumptions!$B$10)^5</f>
        <v/>
      </c>
      <c r="BW6" s="17">
        <f>$B6*(1+Assumptions!$B$10)^5</f>
        <v/>
      </c>
    </row>
    <row r="7">
      <c r="A7" t="inlineStr">
        <is>
          <t>Equipment Rent</t>
        </is>
      </c>
      <c r="B7" s="14" t="n">
        <v>5000</v>
      </c>
      <c r="D7" s="17">
        <f>$B7*(1+Assumptions!$B$10)^0</f>
        <v/>
      </c>
      <c r="E7" s="17">
        <f>$B7*(1+Assumptions!$B$10)^0</f>
        <v/>
      </c>
      <c r="F7" s="17">
        <f>$B7*(1+Assumptions!$B$10)^0</f>
        <v/>
      </c>
      <c r="G7" s="17">
        <f>$B7*(1+Assumptions!$B$10)^0</f>
        <v/>
      </c>
      <c r="H7" s="17">
        <f>$B7*(1+Assumptions!$B$10)^0</f>
        <v/>
      </c>
      <c r="I7" s="17">
        <f>$B7*(1+Assumptions!$B$10)^0</f>
        <v/>
      </c>
      <c r="J7" s="17">
        <f>$B7*(1+Assumptions!$B$10)^0</f>
        <v/>
      </c>
      <c r="K7" s="17">
        <f>$B7*(1+Assumptions!$B$10)^0</f>
        <v/>
      </c>
      <c r="L7" s="17">
        <f>$B7*(1+Assumptions!$B$10)^0</f>
        <v/>
      </c>
      <c r="M7" s="17">
        <f>$B7*(1+Assumptions!$B$10)^0</f>
        <v/>
      </c>
      <c r="N7" s="17">
        <f>$B7*(1+Assumptions!$B$10)^0</f>
        <v/>
      </c>
      <c r="O7" s="17">
        <f>$B7*(1+Assumptions!$B$10)^0</f>
        <v/>
      </c>
      <c r="P7" s="17">
        <f>$B7*(1+Assumptions!$B$10)^1</f>
        <v/>
      </c>
      <c r="Q7" s="17">
        <f>$B7*(1+Assumptions!$B$10)^1</f>
        <v/>
      </c>
      <c r="R7" s="17">
        <f>$B7*(1+Assumptions!$B$10)^1</f>
        <v/>
      </c>
      <c r="S7" s="17">
        <f>$B7*(1+Assumptions!$B$10)^1</f>
        <v/>
      </c>
      <c r="T7" s="17">
        <f>$B7*(1+Assumptions!$B$10)^1</f>
        <v/>
      </c>
      <c r="U7" s="17">
        <f>$B7*(1+Assumptions!$B$10)^1</f>
        <v/>
      </c>
      <c r="V7" s="17">
        <f>$B7*(1+Assumptions!$B$10)^1</f>
        <v/>
      </c>
      <c r="W7" s="17">
        <f>$B7*(1+Assumptions!$B$10)^1</f>
        <v/>
      </c>
      <c r="X7" s="17">
        <f>$B7*(1+Assumptions!$B$10)^1</f>
        <v/>
      </c>
      <c r="Y7" s="17">
        <f>$B7*(1+Assumptions!$B$10)^1</f>
        <v/>
      </c>
      <c r="Z7" s="17">
        <f>$B7*(1+Assumptions!$B$10)^1</f>
        <v/>
      </c>
      <c r="AA7" s="17">
        <f>$B7*(1+Assumptions!$B$10)^1</f>
        <v/>
      </c>
      <c r="AB7" s="17">
        <f>$B7*(1+Assumptions!$B$10)^2</f>
        <v/>
      </c>
      <c r="AC7" s="17">
        <f>$B7*(1+Assumptions!$B$10)^2</f>
        <v/>
      </c>
      <c r="AD7" s="17">
        <f>$B7*(1+Assumptions!$B$10)^2</f>
        <v/>
      </c>
      <c r="AE7" s="17">
        <f>$B7*(1+Assumptions!$B$10)^2</f>
        <v/>
      </c>
      <c r="AF7" s="17">
        <f>$B7*(1+Assumptions!$B$10)^2</f>
        <v/>
      </c>
      <c r="AG7" s="17">
        <f>$B7*(1+Assumptions!$B$10)^2</f>
        <v/>
      </c>
      <c r="AH7" s="17">
        <f>$B7*(1+Assumptions!$B$10)^2</f>
        <v/>
      </c>
      <c r="AI7" s="17">
        <f>$B7*(1+Assumptions!$B$10)^2</f>
        <v/>
      </c>
      <c r="AJ7" s="17">
        <f>$B7*(1+Assumptions!$B$10)^2</f>
        <v/>
      </c>
      <c r="AK7" s="17">
        <f>$B7*(1+Assumptions!$B$10)^2</f>
        <v/>
      </c>
      <c r="AL7" s="17">
        <f>$B7*(1+Assumptions!$B$10)^2</f>
        <v/>
      </c>
      <c r="AM7" s="17">
        <f>$B7*(1+Assumptions!$B$10)^2</f>
        <v/>
      </c>
      <c r="AN7" s="17">
        <f>$B7*(1+Assumptions!$B$10)^3</f>
        <v/>
      </c>
      <c r="AO7" s="17">
        <f>$B7*(1+Assumptions!$B$10)^3</f>
        <v/>
      </c>
      <c r="AP7" s="17">
        <f>$B7*(1+Assumptions!$B$10)^3</f>
        <v/>
      </c>
      <c r="AQ7" s="17">
        <f>$B7*(1+Assumptions!$B$10)^3</f>
        <v/>
      </c>
      <c r="AR7" s="17">
        <f>$B7*(1+Assumptions!$B$10)^3</f>
        <v/>
      </c>
      <c r="AS7" s="17">
        <f>$B7*(1+Assumptions!$B$10)^3</f>
        <v/>
      </c>
      <c r="AT7" s="17">
        <f>$B7*(1+Assumptions!$B$10)^3</f>
        <v/>
      </c>
      <c r="AU7" s="17">
        <f>$B7*(1+Assumptions!$B$10)^3</f>
        <v/>
      </c>
      <c r="AV7" s="17">
        <f>$B7*(1+Assumptions!$B$10)^3</f>
        <v/>
      </c>
      <c r="AW7" s="17">
        <f>$B7*(1+Assumptions!$B$10)^3</f>
        <v/>
      </c>
      <c r="AX7" s="17">
        <f>$B7*(1+Assumptions!$B$10)^3</f>
        <v/>
      </c>
      <c r="AY7" s="17">
        <f>$B7*(1+Assumptions!$B$10)^3</f>
        <v/>
      </c>
      <c r="AZ7" s="17">
        <f>$B7*(1+Assumptions!$B$10)^4</f>
        <v/>
      </c>
      <c r="BA7" s="17">
        <f>$B7*(1+Assumptions!$B$10)^4</f>
        <v/>
      </c>
      <c r="BB7" s="17">
        <f>$B7*(1+Assumptions!$B$10)^4</f>
        <v/>
      </c>
      <c r="BC7" s="17">
        <f>$B7*(1+Assumptions!$B$10)^4</f>
        <v/>
      </c>
      <c r="BD7" s="17">
        <f>$B7*(1+Assumptions!$B$10)^4</f>
        <v/>
      </c>
      <c r="BE7" s="17">
        <f>$B7*(1+Assumptions!$B$10)^4</f>
        <v/>
      </c>
      <c r="BF7" s="17">
        <f>$B7*(1+Assumptions!$B$10)^4</f>
        <v/>
      </c>
      <c r="BG7" s="17">
        <f>$B7*(1+Assumptions!$B$10)^4</f>
        <v/>
      </c>
      <c r="BH7" s="17">
        <f>$B7*(1+Assumptions!$B$10)^4</f>
        <v/>
      </c>
      <c r="BI7" s="17">
        <f>$B7*(1+Assumptions!$B$10)^4</f>
        <v/>
      </c>
      <c r="BJ7" s="17">
        <f>$B7*(1+Assumptions!$B$10)^4</f>
        <v/>
      </c>
      <c r="BK7" s="17">
        <f>$B7*(1+Assumptions!$B$10)^4</f>
        <v/>
      </c>
      <c r="BL7" s="17">
        <f>$B7*(1+Assumptions!$B$10)^5</f>
        <v/>
      </c>
      <c r="BM7" s="17">
        <f>$B7*(1+Assumptions!$B$10)^5</f>
        <v/>
      </c>
      <c r="BN7" s="17">
        <f>$B7*(1+Assumptions!$B$10)^5</f>
        <v/>
      </c>
      <c r="BO7" s="17">
        <f>$B7*(1+Assumptions!$B$10)^5</f>
        <v/>
      </c>
      <c r="BP7" s="17">
        <f>$B7*(1+Assumptions!$B$10)^5</f>
        <v/>
      </c>
      <c r="BQ7" s="17">
        <f>$B7*(1+Assumptions!$B$10)^5</f>
        <v/>
      </c>
      <c r="BR7" s="17">
        <f>$B7*(1+Assumptions!$B$10)^5</f>
        <v/>
      </c>
      <c r="BS7" s="17">
        <f>$B7*(1+Assumptions!$B$10)^5</f>
        <v/>
      </c>
      <c r="BT7" s="17">
        <f>$B7*(1+Assumptions!$B$10)^5</f>
        <v/>
      </c>
      <c r="BU7" s="17">
        <f>$B7*(1+Assumptions!$B$10)^5</f>
        <v/>
      </c>
      <c r="BV7" s="17">
        <f>$B7*(1+Assumptions!$B$10)^5</f>
        <v/>
      </c>
      <c r="BW7" s="17">
        <f>$B7*(1+Assumptions!$B$10)^5</f>
        <v/>
      </c>
    </row>
    <row r="8">
      <c r="A8" t="inlineStr">
        <is>
          <t>IT — CRM</t>
        </is>
      </c>
      <c r="B8" s="14" t="n">
        <v>15000</v>
      </c>
      <c r="D8" s="17">
        <f>$B8*(1+Assumptions!$B$10)^0</f>
        <v/>
      </c>
      <c r="E8" s="17">
        <f>$B8*(1+Assumptions!$B$10)^0</f>
        <v/>
      </c>
      <c r="F8" s="17">
        <f>$B8*(1+Assumptions!$B$10)^0</f>
        <v/>
      </c>
      <c r="G8" s="17">
        <f>$B8*(1+Assumptions!$B$10)^0</f>
        <v/>
      </c>
      <c r="H8" s="17">
        <f>$B8*(1+Assumptions!$B$10)^0</f>
        <v/>
      </c>
      <c r="I8" s="17">
        <f>$B8*(1+Assumptions!$B$10)^0</f>
        <v/>
      </c>
      <c r="J8" s="17">
        <f>$B8*(1+Assumptions!$B$10)^0</f>
        <v/>
      </c>
      <c r="K8" s="17">
        <f>$B8*(1+Assumptions!$B$10)^0</f>
        <v/>
      </c>
      <c r="L8" s="17">
        <f>$B8*(1+Assumptions!$B$10)^0</f>
        <v/>
      </c>
      <c r="M8" s="17">
        <f>$B8*(1+Assumptions!$B$10)^0</f>
        <v/>
      </c>
      <c r="N8" s="17">
        <f>$B8*(1+Assumptions!$B$10)^0</f>
        <v/>
      </c>
      <c r="O8" s="17">
        <f>$B8*(1+Assumptions!$B$10)^0</f>
        <v/>
      </c>
      <c r="P8" s="17">
        <f>$B8*(1+Assumptions!$B$10)^1</f>
        <v/>
      </c>
      <c r="Q8" s="17">
        <f>$B8*(1+Assumptions!$B$10)^1</f>
        <v/>
      </c>
      <c r="R8" s="17">
        <f>$B8*(1+Assumptions!$B$10)^1</f>
        <v/>
      </c>
      <c r="S8" s="17">
        <f>$B8*(1+Assumptions!$B$10)^1</f>
        <v/>
      </c>
      <c r="T8" s="17">
        <f>$B8*(1+Assumptions!$B$10)^1</f>
        <v/>
      </c>
      <c r="U8" s="17">
        <f>$B8*(1+Assumptions!$B$10)^1</f>
        <v/>
      </c>
      <c r="V8" s="17">
        <f>$B8*(1+Assumptions!$B$10)^1</f>
        <v/>
      </c>
      <c r="W8" s="17">
        <f>$B8*(1+Assumptions!$B$10)^1</f>
        <v/>
      </c>
      <c r="X8" s="17">
        <f>$B8*(1+Assumptions!$B$10)^1</f>
        <v/>
      </c>
      <c r="Y8" s="17">
        <f>$B8*(1+Assumptions!$B$10)^1</f>
        <v/>
      </c>
      <c r="Z8" s="17">
        <f>$B8*(1+Assumptions!$B$10)^1</f>
        <v/>
      </c>
      <c r="AA8" s="17">
        <f>$B8*(1+Assumptions!$B$10)^1</f>
        <v/>
      </c>
      <c r="AB8" s="17">
        <f>$B8*(1+Assumptions!$B$10)^2</f>
        <v/>
      </c>
      <c r="AC8" s="17">
        <f>$B8*(1+Assumptions!$B$10)^2</f>
        <v/>
      </c>
      <c r="AD8" s="17">
        <f>$B8*(1+Assumptions!$B$10)^2</f>
        <v/>
      </c>
      <c r="AE8" s="17">
        <f>$B8*(1+Assumptions!$B$10)^2</f>
        <v/>
      </c>
      <c r="AF8" s="17">
        <f>$B8*(1+Assumptions!$B$10)^2</f>
        <v/>
      </c>
      <c r="AG8" s="17">
        <f>$B8*(1+Assumptions!$B$10)^2</f>
        <v/>
      </c>
      <c r="AH8" s="17">
        <f>$B8*(1+Assumptions!$B$10)^2</f>
        <v/>
      </c>
      <c r="AI8" s="17">
        <f>$B8*(1+Assumptions!$B$10)^2</f>
        <v/>
      </c>
      <c r="AJ8" s="17">
        <f>$B8*(1+Assumptions!$B$10)^2</f>
        <v/>
      </c>
      <c r="AK8" s="17">
        <f>$B8*(1+Assumptions!$B$10)^2</f>
        <v/>
      </c>
      <c r="AL8" s="17">
        <f>$B8*(1+Assumptions!$B$10)^2</f>
        <v/>
      </c>
      <c r="AM8" s="17">
        <f>$B8*(1+Assumptions!$B$10)^2</f>
        <v/>
      </c>
      <c r="AN8" s="17">
        <f>$B8*(1+Assumptions!$B$10)^3</f>
        <v/>
      </c>
      <c r="AO8" s="17">
        <f>$B8*(1+Assumptions!$B$10)^3</f>
        <v/>
      </c>
      <c r="AP8" s="17">
        <f>$B8*(1+Assumptions!$B$10)^3</f>
        <v/>
      </c>
      <c r="AQ8" s="17">
        <f>$B8*(1+Assumptions!$B$10)^3</f>
        <v/>
      </c>
      <c r="AR8" s="17">
        <f>$B8*(1+Assumptions!$B$10)^3</f>
        <v/>
      </c>
      <c r="AS8" s="17">
        <f>$B8*(1+Assumptions!$B$10)^3</f>
        <v/>
      </c>
      <c r="AT8" s="17">
        <f>$B8*(1+Assumptions!$B$10)^3</f>
        <v/>
      </c>
      <c r="AU8" s="17">
        <f>$B8*(1+Assumptions!$B$10)^3</f>
        <v/>
      </c>
      <c r="AV8" s="17">
        <f>$B8*(1+Assumptions!$B$10)^3</f>
        <v/>
      </c>
      <c r="AW8" s="17">
        <f>$B8*(1+Assumptions!$B$10)^3</f>
        <v/>
      </c>
      <c r="AX8" s="17">
        <f>$B8*(1+Assumptions!$B$10)^3</f>
        <v/>
      </c>
      <c r="AY8" s="17">
        <f>$B8*(1+Assumptions!$B$10)^3</f>
        <v/>
      </c>
      <c r="AZ8" s="17">
        <f>$B8*(1+Assumptions!$B$10)^4</f>
        <v/>
      </c>
      <c r="BA8" s="17">
        <f>$B8*(1+Assumptions!$B$10)^4</f>
        <v/>
      </c>
      <c r="BB8" s="17">
        <f>$B8*(1+Assumptions!$B$10)^4</f>
        <v/>
      </c>
      <c r="BC8" s="17">
        <f>$B8*(1+Assumptions!$B$10)^4</f>
        <v/>
      </c>
      <c r="BD8" s="17">
        <f>$B8*(1+Assumptions!$B$10)^4</f>
        <v/>
      </c>
      <c r="BE8" s="17">
        <f>$B8*(1+Assumptions!$B$10)^4</f>
        <v/>
      </c>
      <c r="BF8" s="17">
        <f>$B8*(1+Assumptions!$B$10)^4</f>
        <v/>
      </c>
      <c r="BG8" s="17">
        <f>$B8*(1+Assumptions!$B$10)^4</f>
        <v/>
      </c>
      <c r="BH8" s="17">
        <f>$B8*(1+Assumptions!$B$10)^4</f>
        <v/>
      </c>
      <c r="BI8" s="17">
        <f>$B8*(1+Assumptions!$B$10)^4</f>
        <v/>
      </c>
      <c r="BJ8" s="17">
        <f>$B8*(1+Assumptions!$B$10)^4</f>
        <v/>
      </c>
      <c r="BK8" s="17">
        <f>$B8*(1+Assumptions!$B$10)^4</f>
        <v/>
      </c>
      <c r="BL8" s="17">
        <f>$B8*(1+Assumptions!$B$10)^5</f>
        <v/>
      </c>
      <c r="BM8" s="17">
        <f>$B8*(1+Assumptions!$B$10)^5</f>
        <v/>
      </c>
      <c r="BN8" s="17">
        <f>$B8*(1+Assumptions!$B$10)^5</f>
        <v/>
      </c>
      <c r="BO8" s="17">
        <f>$B8*(1+Assumptions!$B$10)^5</f>
        <v/>
      </c>
      <c r="BP8" s="17">
        <f>$B8*(1+Assumptions!$B$10)^5</f>
        <v/>
      </c>
      <c r="BQ8" s="17">
        <f>$B8*(1+Assumptions!$B$10)^5</f>
        <v/>
      </c>
      <c r="BR8" s="17">
        <f>$B8*(1+Assumptions!$B$10)^5</f>
        <v/>
      </c>
      <c r="BS8" s="17">
        <f>$B8*(1+Assumptions!$B$10)^5</f>
        <v/>
      </c>
      <c r="BT8" s="17">
        <f>$B8*(1+Assumptions!$B$10)^5</f>
        <v/>
      </c>
      <c r="BU8" s="17">
        <f>$B8*(1+Assumptions!$B$10)^5</f>
        <v/>
      </c>
      <c r="BV8" s="17">
        <f>$B8*(1+Assumptions!$B$10)^5</f>
        <v/>
      </c>
      <c r="BW8" s="17">
        <f>$B8*(1+Assumptions!$B$10)^5</f>
        <v/>
      </c>
    </row>
    <row r="9">
      <c r="A9" t="inlineStr">
        <is>
          <t>IT — SAAS</t>
        </is>
      </c>
      <c r="B9" s="14" t="n">
        <v>25000</v>
      </c>
      <c r="D9" s="17">
        <f>$B9*(1+Assumptions!$B$10)^0</f>
        <v/>
      </c>
      <c r="E9" s="17">
        <f>$B9*(1+Assumptions!$B$10)^0</f>
        <v/>
      </c>
      <c r="F9" s="17">
        <f>$B9*(1+Assumptions!$B$10)^0</f>
        <v/>
      </c>
      <c r="G9" s="17">
        <f>$B9*(1+Assumptions!$B$10)^0</f>
        <v/>
      </c>
      <c r="H9" s="17">
        <f>$B9*(1+Assumptions!$B$10)^0</f>
        <v/>
      </c>
      <c r="I9" s="17">
        <f>$B9*(1+Assumptions!$B$10)^0</f>
        <v/>
      </c>
      <c r="J9" s="17">
        <f>$B9*(1+Assumptions!$B$10)^0</f>
        <v/>
      </c>
      <c r="K9" s="17">
        <f>$B9*(1+Assumptions!$B$10)^0</f>
        <v/>
      </c>
      <c r="L9" s="17">
        <f>$B9*(1+Assumptions!$B$10)^0</f>
        <v/>
      </c>
      <c r="M9" s="17">
        <f>$B9*(1+Assumptions!$B$10)^0</f>
        <v/>
      </c>
      <c r="N9" s="17">
        <f>$B9*(1+Assumptions!$B$10)^0</f>
        <v/>
      </c>
      <c r="O9" s="17">
        <f>$B9*(1+Assumptions!$B$10)^0</f>
        <v/>
      </c>
      <c r="P9" s="17">
        <f>$B9*(1+Assumptions!$B$10)^1</f>
        <v/>
      </c>
      <c r="Q9" s="17">
        <f>$B9*(1+Assumptions!$B$10)^1</f>
        <v/>
      </c>
      <c r="R9" s="17">
        <f>$B9*(1+Assumptions!$B$10)^1</f>
        <v/>
      </c>
      <c r="S9" s="17">
        <f>$B9*(1+Assumptions!$B$10)^1</f>
        <v/>
      </c>
      <c r="T9" s="17">
        <f>$B9*(1+Assumptions!$B$10)^1</f>
        <v/>
      </c>
      <c r="U9" s="17">
        <f>$B9*(1+Assumptions!$B$10)^1</f>
        <v/>
      </c>
      <c r="V9" s="17">
        <f>$B9*(1+Assumptions!$B$10)^1</f>
        <v/>
      </c>
      <c r="W9" s="17">
        <f>$B9*(1+Assumptions!$B$10)^1</f>
        <v/>
      </c>
      <c r="X9" s="17">
        <f>$B9*(1+Assumptions!$B$10)^1</f>
        <v/>
      </c>
      <c r="Y9" s="17">
        <f>$B9*(1+Assumptions!$B$10)^1</f>
        <v/>
      </c>
      <c r="Z9" s="17">
        <f>$B9*(1+Assumptions!$B$10)^1</f>
        <v/>
      </c>
      <c r="AA9" s="17">
        <f>$B9*(1+Assumptions!$B$10)^1</f>
        <v/>
      </c>
      <c r="AB9" s="17">
        <f>$B9*(1+Assumptions!$B$10)^2</f>
        <v/>
      </c>
      <c r="AC9" s="17">
        <f>$B9*(1+Assumptions!$B$10)^2</f>
        <v/>
      </c>
      <c r="AD9" s="17">
        <f>$B9*(1+Assumptions!$B$10)^2</f>
        <v/>
      </c>
      <c r="AE9" s="17">
        <f>$B9*(1+Assumptions!$B$10)^2</f>
        <v/>
      </c>
      <c r="AF9" s="17">
        <f>$B9*(1+Assumptions!$B$10)^2</f>
        <v/>
      </c>
      <c r="AG9" s="17">
        <f>$B9*(1+Assumptions!$B$10)^2</f>
        <v/>
      </c>
      <c r="AH9" s="17">
        <f>$B9*(1+Assumptions!$B$10)^2</f>
        <v/>
      </c>
      <c r="AI9" s="17">
        <f>$B9*(1+Assumptions!$B$10)^2</f>
        <v/>
      </c>
      <c r="AJ9" s="17">
        <f>$B9*(1+Assumptions!$B$10)^2</f>
        <v/>
      </c>
      <c r="AK9" s="17">
        <f>$B9*(1+Assumptions!$B$10)^2</f>
        <v/>
      </c>
      <c r="AL9" s="17">
        <f>$B9*(1+Assumptions!$B$10)^2</f>
        <v/>
      </c>
      <c r="AM9" s="17">
        <f>$B9*(1+Assumptions!$B$10)^2</f>
        <v/>
      </c>
      <c r="AN9" s="17">
        <f>$B9*(1+Assumptions!$B$10)^3</f>
        <v/>
      </c>
      <c r="AO9" s="17">
        <f>$B9*(1+Assumptions!$B$10)^3</f>
        <v/>
      </c>
      <c r="AP9" s="17">
        <f>$B9*(1+Assumptions!$B$10)^3</f>
        <v/>
      </c>
      <c r="AQ9" s="17">
        <f>$B9*(1+Assumptions!$B$10)^3</f>
        <v/>
      </c>
      <c r="AR9" s="17">
        <f>$B9*(1+Assumptions!$B$10)^3</f>
        <v/>
      </c>
      <c r="AS9" s="17">
        <f>$B9*(1+Assumptions!$B$10)^3</f>
        <v/>
      </c>
      <c r="AT9" s="17">
        <f>$B9*(1+Assumptions!$B$10)^3</f>
        <v/>
      </c>
      <c r="AU9" s="17">
        <f>$B9*(1+Assumptions!$B$10)^3</f>
        <v/>
      </c>
      <c r="AV9" s="17">
        <f>$B9*(1+Assumptions!$B$10)^3</f>
        <v/>
      </c>
      <c r="AW9" s="17">
        <f>$B9*(1+Assumptions!$B$10)^3</f>
        <v/>
      </c>
      <c r="AX9" s="17">
        <f>$B9*(1+Assumptions!$B$10)^3</f>
        <v/>
      </c>
      <c r="AY9" s="17">
        <f>$B9*(1+Assumptions!$B$10)^3</f>
        <v/>
      </c>
      <c r="AZ9" s="17">
        <f>$B9*(1+Assumptions!$B$10)^4</f>
        <v/>
      </c>
      <c r="BA9" s="17">
        <f>$B9*(1+Assumptions!$B$10)^4</f>
        <v/>
      </c>
      <c r="BB9" s="17">
        <f>$B9*(1+Assumptions!$B$10)^4</f>
        <v/>
      </c>
      <c r="BC9" s="17">
        <f>$B9*(1+Assumptions!$B$10)^4</f>
        <v/>
      </c>
      <c r="BD9" s="17">
        <f>$B9*(1+Assumptions!$B$10)^4</f>
        <v/>
      </c>
      <c r="BE9" s="17">
        <f>$B9*(1+Assumptions!$B$10)^4</f>
        <v/>
      </c>
      <c r="BF9" s="17">
        <f>$B9*(1+Assumptions!$B$10)^4</f>
        <v/>
      </c>
      <c r="BG9" s="17">
        <f>$B9*(1+Assumptions!$B$10)^4</f>
        <v/>
      </c>
      <c r="BH9" s="17">
        <f>$B9*(1+Assumptions!$B$10)^4</f>
        <v/>
      </c>
      <c r="BI9" s="17">
        <f>$B9*(1+Assumptions!$B$10)^4</f>
        <v/>
      </c>
      <c r="BJ9" s="17">
        <f>$B9*(1+Assumptions!$B$10)^4</f>
        <v/>
      </c>
      <c r="BK9" s="17">
        <f>$B9*(1+Assumptions!$B$10)^4</f>
        <v/>
      </c>
      <c r="BL9" s="17">
        <f>$B9*(1+Assumptions!$B$10)^5</f>
        <v/>
      </c>
      <c r="BM9" s="17">
        <f>$B9*(1+Assumptions!$B$10)^5</f>
        <v/>
      </c>
      <c r="BN9" s="17">
        <f>$B9*(1+Assumptions!$B$10)^5</f>
        <v/>
      </c>
      <c r="BO9" s="17">
        <f>$B9*(1+Assumptions!$B$10)^5</f>
        <v/>
      </c>
      <c r="BP9" s="17">
        <f>$B9*(1+Assumptions!$B$10)^5</f>
        <v/>
      </c>
      <c r="BQ9" s="17">
        <f>$B9*(1+Assumptions!$B$10)^5</f>
        <v/>
      </c>
      <c r="BR9" s="17">
        <f>$B9*(1+Assumptions!$B$10)^5</f>
        <v/>
      </c>
      <c r="BS9" s="17">
        <f>$B9*(1+Assumptions!$B$10)^5</f>
        <v/>
      </c>
      <c r="BT9" s="17">
        <f>$B9*(1+Assumptions!$B$10)^5</f>
        <v/>
      </c>
      <c r="BU9" s="17">
        <f>$B9*(1+Assumptions!$B$10)^5</f>
        <v/>
      </c>
      <c r="BV9" s="17">
        <f>$B9*(1+Assumptions!$B$10)^5</f>
        <v/>
      </c>
      <c r="BW9" s="17">
        <f>$B9*(1+Assumptions!$B$10)^5</f>
        <v/>
      </c>
    </row>
    <row r="10">
      <c r="A10" t="inlineStr">
        <is>
          <t>IT — Sales/Ops</t>
        </is>
      </c>
      <c r="B10" s="14" t="n">
        <v>8000</v>
      </c>
      <c r="D10" s="17">
        <f>$B10*(1+Assumptions!$B$10)^0</f>
        <v/>
      </c>
      <c r="E10" s="17">
        <f>$B10*(1+Assumptions!$B$10)^0</f>
        <v/>
      </c>
      <c r="F10" s="17">
        <f>$B10*(1+Assumptions!$B$10)^0</f>
        <v/>
      </c>
      <c r="G10" s="17">
        <f>$B10*(1+Assumptions!$B$10)^0</f>
        <v/>
      </c>
      <c r="H10" s="17">
        <f>$B10*(1+Assumptions!$B$10)^0</f>
        <v/>
      </c>
      <c r="I10" s="17">
        <f>$B10*(1+Assumptions!$B$10)^0</f>
        <v/>
      </c>
      <c r="J10" s="17">
        <f>$B10*(1+Assumptions!$B$10)^0</f>
        <v/>
      </c>
      <c r="K10" s="17">
        <f>$B10*(1+Assumptions!$B$10)^0</f>
        <v/>
      </c>
      <c r="L10" s="17">
        <f>$B10*(1+Assumptions!$B$10)^0</f>
        <v/>
      </c>
      <c r="M10" s="17">
        <f>$B10*(1+Assumptions!$B$10)^0</f>
        <v/>
      </c>
      <c r="N10" s="17">
        <f>$B10*(1+Assumptions!$B$10)^0</f>
        <v/>
      </c>
      <c r="O10" s="17">
        <f>$B10*(1+Assumptions!$B$10)^0</f>
        <v/>
      </c>
      <c r="P10" s="17">
        <f>$B10*(1+Assumptions!$B$10)^1</f>
        <v/>
      </c>
      <c r="Q10" s="17">
        <f>$B10*(1+Assumptions!$B$10)^1</f>
        <v/>
      </c>
      <c r="R10" s="17">
        <f>$B10*(1+Assumptions!$B$10)^1</f>
        <v/>
      </c>
      <c r="S10" s="17">
        <f>$B10*(1+Assumptions!$B$10)^1</f>
        <v/>
      </c>
      <c r="T10" s="17">
        <f>$B10*(1+Assumptions!$B$10)^1</f>
        <v/>
      </c>
      <c r="U10" s="17">
        <f>$B10*(1+Assumptions!$B$10)^1</f>
        <v/>
      </c>
      <c r="V10" s="17">
        <f>$B10*(1+Assumptions!$B$10)^1</f>
        <v/>
      </c>
      <c r="W10" s="17">
        <f>$B10*(1+Assumptions!$B$10)^1</f>
        <v/>
      </c>
      <c r="X10" s="17">
        <f>$B10*(1+Assumptions!$B$10)^1</f>
        <v/>
      </c>
      <c r="Y10" s="17">
        <f>$B10*(1+Assumptions!$B$10)^1</f>
        <v/>
      </c>
      <c r="Z10" s="17">
        <f>$B10*(1+Assumptions!$B$10)^1</f>
        <v/>
      </c>
      <c r="AA10" s="17">
        <f>$B10*(1+Assumptions!$B$10)^1</f>
        <v/>
      </c>
      <c r="AB10" s="17">
        <f>$B10*(1+Assumptions!$B$10)^2</f>
        <v/>
      </c>
      <c r="AC10" s="17">
        <f>$B10*(1+Assumptions!$B$10)^2</f>
        <v/>
      </c>
      <c r="AD10" s="17">
        <f>$B10*(1+Assumptions!$B$10)^2</f>
        <v/>
      </c>
      <c r="AE10" s="17">
        <f>$B10*(1+Assumptions!$B$10)^2</f>
        <v/>
      </c>
      <c r="AF10" s="17">
        <f>$B10*(1+Assumptions!$B$10)^2</f>
        <v/>
      </c>
      <c r="AG10" s="17">
        <f>$B10*(1+Assumptions!$B$10)^2</f>
        <v/>
      </c>
      <c r="AH10" s="17">
        <f>$B10*(1+Assumptions!$B$10)^2</f>
        <v/>
      </c>
      <c r="AI10" s="17">
        <f>$B10*(1+Assumptions!$B$10)^2</f>
        <v/>
      </c>
      <c r="AJ10" s="17">
        <f>$B10*(1+Assumptions!$B$10)^2</f>
        <v/>
      </c>
      <c r="AK10" s="17">
        <f>$B10*(1+Assumptions!$B$10)^2</f>
        <v/>
      </c>
      <c r="AL10" s="17">
        <f>$B10*(1+Assumptions!$B$10)^2</f>
        <v/>
      </c>
      <c r="AM10" s="17">
        <f>$B10*(1+Assumptions!$B$10)^2</f>
        <v/>
      </c>
      <c r="AN10" s="17">
        <f>$B10*(1+Assumptions!$B$10)^3</f>
        <v/>
      </c>
      <c r="AO10" s="17">
        <f>$B10*(1+Assumptions!$B$10)^3</f>
        <v/>
      </c>
      <c r="AP10" s="17">
        <f>$B10*(1+Assumptions!$B$10)^3</f>
        <v/>
      </c>
      <c r="AQ10" s="17">
        <f>$B10*(1+Assumptions!$B$10)^3</f>
        <v/>
      </c>
      <c r="AR10" s="17">
        <f>$B10*(1+Assumptions!$B$10)^3</f>
        <v/>
      </c>
      <c r="AS10" s="17">
        <f>$B10*(1+Assumptions!$B$10)^3</f>
        <v/>
      </c>
      <c r="AT10" s="17">
        <f>$B10*(1+Assumptions!$B$10)^3</f>
        <v/>
      </c>
      <c r="AU10" s="17">
        <f>$B10*(1+Assumptions!$B$10)^3</f>
        <v/>
      </c>
      <c r="AV10" s="17">
        <f>$B10*(1+Assumptions!$B$10)^3</f>
        <v/>
      </c>
      <c r="AW10" s="17">
        <f>$B10*(1+Assumptions!$B$10)^3</f>
        <v/>
      </c>
      <c r="AX10" s="17">
        <f>$B10*(1+Assumptions!$B$10)^3</f>
        <v/>
      </c>
      <c r="AY10" s="17">
        <f>$B10*(1+Assumptions!$B$10)^3</f>
        <v/>
      </c>
      <c r="AZ10" s="17">
        <f>$B10*(1+Assumptions!$B$10)^4</f>
        <v/>
      </c>
      <c r="BA10" s="17">
        <f>$B10*(1+Assumptions!$B$10)^4</f>
        <v/>
      </c>
      <c r="BB10" s="17">
        <f>$B10*(1+Assumptions!$B$10)^4</f>
        <v/>
      </c>
      <c r="BC10" s="17">
        <f>$B10*(1+Assumptions!$B$10)^4</f>
        <v/>
      </c>
      <c r="BD10" s="17">
        <f>$B10*(1+Assumptions!$B$10)^4</f>
        <v/>
      </c>
      <c r="BE10" s="17">
        <f>$B10*(1+Assumptions!$B$10)^4</f>
        <v/>
      </c>
      <c r="BF10" s="17">
        <f>$B10*(1+Assumptions!$B$10)^4</f>
        <v/>
      </c>
      <c r="BG10" s="17">
        <f>$B10*(1+Assumptions!$B$10)^4</f>
        <v/>
      </c>
      <c r="BH10" s="17">
        <f>$B10*(1+Assumptions!$B$10)^4</f>
        <v/>
      </c>
      <c r="BI10" s="17">
        <f>$B10*(1+Assumptions!$B$10)^4</f>
        <v/>
      </c>
      <c r="BJ10" s="17">
        <f>$B10*(1+Assumptions!$B$10)^4</f>
        <v/>
      </c>
      <c r="BK10" s="17">
        <f>$B10*(1+Assumptions!$B$10)^4</f>
        <v/>
      </c>
      <c r="BL10" s="17">
        <f>$B10*(1+Assumptions!$B$10)^5</f>
        <v/>
      </c>
      <c r="BM10" s="17">
        <f>$B10*(1+Assumptions!$B$10)^5</f>
        <v/>
      </c>
      <c r="BN10" s="17">
        <f>$B10*(1+Assumptions!$B$10)^5</f>
        <v/>
      </c>
      <c r="BO10" s="17">
        <f>$B10*(1+Assumptions!$B$10)^5</f>
        <v/>
      </c>
      <c r="BP10" s="17">
        <f>$B10*(1+Assumptions!$B$10)^5</f>
        <v/>
      </c>
      <c r="BQ10" s="17">
        <f>$B10*(1+Assumptions!$B$10)^5</f>
        <v/>
      </c>
      <c r="BR10" s="17">
        <f>$B10*(1+Assumptions!$B$10)^5</f>
        <v/>
      </c>
      <c r="BS10" s="17">
        <f>$B10*(1+Assumptions!$B$10)^5</f>
        <v/>
      </c>
      <c r="BT10" s="17">
        <f>$B10*(1+Assumptions!$B$10)^5</f>
        <v/>
      </c>
      <c r="BU10" s="17">
        <f>$B10*(1+Assumptions!$B$10)^5</f>
        <v/>
      </c>
      <c r="BV10" s="17">
        <f>$B10*(1+Assumptions!$B$10)^5</f>
        <v/>
      </c>
      <c r="BW10" s="17">
        <f>$B10*(1+Assumptions!$B$10)^5</f>
        <v/>
      </c>
    </row>
    <row r="11">
      <c r="A11" t="inlineStr">
        <is>
          <t>Office Supplies</t>
        </is>
      </c>
      <c r="B11" s="14" t="n">
        <v>2000</v>
      </c>
      <c r="D11" s="17">
        <f>$B11*(1+Assumptions!$B$10)^0</f>
        <v/>
      </c>
      <c r="E11" s="17">
        <f>$B11*(1+Assumptions!$B$10)^0</f>
        <v/>
      </c>
      <c r="F11" s="17">
        <f>$B11*(1+Assumptions!$B$10)^0</f>
        <v/>
      </c>
      <c r="G11" s="17">
        <f>$B11*(1+Assumptions!$B$10)^0</f>
        <v/>
      </c>
      <c r="H11" s="17">
        <f>$B11*(1+Assumptions!$B$10)^0</f>
        <v/>
      </c>
      <c r="I11" s="17">
        <f>$B11*(1+Assumptions!$B$10)^0</f>
        <v/>
      </c>
      <c r="J11" s="17">
        <f>$B11*(1+Assumptions!$B$10)^0</f>
        <v/>
      </c>
      <c r="K11" s="17">
        <f>$B11*(1+Assumptions!$B$10)^0</f>
        <v/>
      </c>
      <c r="L11" s="17">
        <f>$B11*(1+Assumptions!$B$10)^0</f>
        <v/>
      </c>
      <c r="M11" s="17">
        <f>$B11*(1+Assumptions!$B$10)^0</f>
        <v/>
      </c>
      <c r="N11" s="17">
        <f>$B11*(1+Assumptions!$B$10)^0</f>
        <v/>
      </c>
      <c r="O11" s="17">
        <f>$B11*(1+Assumptions!$B$10)^0</f>
        <v/>
      </c>
      <c r="P11" s="17">
        <f>$B11*(1+Assumptions!$B$10)^1</f>
        <v/>
      </c>
      <c r="Q11" s="17">
        <f>$B11*(1+Assumptions!$B$10)^1</f>
        <v/>
      </c>
      <c r="R11" s="17">
        <f>$B11*(1+Assumptions!$B$10)^1</f>
        <v/>
      </c>
      <c r="S11" s="17">
        <f>$B11*(1+Assumptions!$B$10)^1</f>
        <v/>
      </c>
      <c r="T11" s="17">
        <f>$B11*(1+Assumptions!$B$10)^1</f>
        <v/>
      </c>
      <c r="U11" s="17">
        <f>$B11*(1+Assumptions!$B$10)^1</f>
        <v/>
      </c>
      <c r="V11" s="17">
        <f>$B11*(1+Assumptions!$B$10)^1</f>
        <v/>
      </c>
      <c r="W11" s="17">
        <f>$B11*(1+Assumptions!$B$10)^1</f>
        <v/>
      </c>
      <c r="X11" s="17">
        <f>$B11*(1+Assumptions!$B$10)^1</f>
        <v/>
      </c>
      <c r="Y11" s="17">
        <f>$B11*(1+Assumptions!$B$10)^1</f>
        <v/>
      </c>
      <c r="Z11" s="17">
        <f>$B11*(1+Assumptions!$B$10)^1</f>
        <v/>
      </c>
      <c r="AA11" s="17">
        <f>$B11*(1+Assumptions!$B$10)^1</f>
        <v/>
      </c>
      <c r="AB11" s="17">
        <f>$B11*(1+Assumptions!$B$10)^2</f>
        <v/>
      </c>
      <c r="AC11" s="17">
        <f>$B11*(1+Assumptions!$B$10)^2</f>
        <v/>
      </c>
      <c r="AD11" s="17">
        <f>$B11*(1+Assumptions!$B$10)^2</f>
        <v/>
      </c>
      <c r="AE11" s="17">
        <f>$B11*(1+Assumptions!$B$10)^2</f>
        <v/>
      </c>
      <c r="AF11" s="17">
        <f>$B11*(1+Assumptions!$B$10)^2</f>
        <v/>
      </c>
      <c r="AG11" s="17">
        <f>$B11*(1+Assumptions!$B$10)^2</f>
        <v/>
      </c>
      <c r="AH11" s="17">
        <f>$B11*(1+Assumptions!$B$10)^2</f>
        <v/>
      </c>
      <c r="AI11" s="17">
        <f>$B11*(1+Assumptions!$B$10)^2</f>
        <v/>
      </c>
      <c r="AJ11" s="17">
        <f>$B11*(1+Assumptions!$B$10)^2</f>
        <v/>
      </c>
      <c r="AK11" s="17">
        <f>$B11*(1+Assumptions!$B$10)^2</f>
        <v/>
      </c>
      <c r="AL11" s="17">
        <f>$B11*(1+Assumptions!$B$10)^2</f>
        <v/>
      </c>
      <c r="AM11" s="17">
        <f>$B11*(1+Assumptions!$B$10)^2</f>
        <v/>
      </c>
      <c r="AN11" s="17">
        <f>$B11*(1+Assumptions!$B$10)^3</f>
        <v/>
      </c>
      <c r="AO11" s="17">
        <f>$B11*(1+Assumptions!$B$10)^3</f>
        <v/>
      </c>
      <c r="AP11" s="17">
        <f>$B11*(1+Assumptions!$B$10)^3</f>
        <v/>
      </c>
      <c r="AQ11" s="17">
        <f>$B11*(1+Assumptions!$B$10)^3</f>
        <v/>
      </c>
      <c r="AR11" s="17">
        <f>$B11*(1+Assumptions!$B$10)^3</f>
        <v/>
      </c>
      <c r="AS11" s="17">
        <f>$B11*(1+Assumptions!$B$10)^3</f>
        <v/>
      </c>
      <c r="AT11" s="17">
        <f>$B11*(1+Assumptions!$B$10)^3</f>
        <v/>
      </c>
      <c r="AU11" s="17">
        <f>$B11*(1+Assumptions!$B$10)^3</f>
        <v/>
      </c>
      <c r="AV11" s="17">
        <f>$B11*(1+Assumptions!$B$10)^3</f>
        <v/>
      </c>
      <c r="AW11" s="17">
        <f>$B11*(1+Assumptions!$B$10)^3</f>
        <v/>
      </c>
      <c r="AX11" s="17">
        <f>$B11*(1+Assumptions!$B$10)^3</f>
        <v/>
      </c>
      <c r="AY11" s="17">
        <f>$B11*(1+Assumptions!$B$10)^3</f>
        <v/>
      </c>
      <c r="AZ11" s="17">
        <f>$B11*(1+Assumptions!$B$10)^4</f>
        <v/>
      </c>
      <c r="BA11" s="17">
        <f>$B11*(1+Assumptions!$B$10)^4</f>
        <v/>
      </c>
      <c r="BB11" s="17">
        <f>$B11*(1+Assumptions!$B$10)^4</f>
        <v/>
      </c>
      <c r="BC11" s="17">
        <f>$B11*(1+Assumptions!$B$10)^4</f>
        <v/>
      </c>
      <c r="BD11" s="17">
        <f>$B11*(1+Assumptions!$B$10)^4</f>
        <v/>
      </c>
      <c r="BE11" s="17">
        <f>$B11*(1+Assumptions!$B$10)^4</f>
        <v/>
      </c>
      <c r="BF11" s="17">
        <f>$B11*(1+Assumptions!$B$10)^4</f>
        <v/>
      </c>
      <c r="BG11" s="17">
        <f>$B11*(1+Assumptions!$B$10)^4</f>
        <v/>
      </c>
      <c r="BH11" s="17">
        <f>$B11*(1+Assumptions!$B$10)^4</f>
        <v/>
      </c>
      <c r="BI11" s="17">
        <f>$B11*(1+Assumptions!$B$10)^4</f>
        <v/>
      </c>
      <c r="BJ11" s="17">
        <f>$B11*(1+Assumptions!$B$10)^4</f>
        <v/>
      </c>
      <c r="BK11" s="17">
        <f>$B11*(1+Assumptions!$B$10)^4</f>
        <v/>
      </c>
      <c r="BL11" s="17">
        <f>$B11*(1+Assumptions!$B$10)^5</f>
        <v/>
      </c>
      <c r="BM11" s="17">
        <f>$B11*(1+Assumptions!$B$10)^5</f>
        <v/>
      </c>
      <c r="BN11" s="17">
        <f>$B11*(1+Assumptions!$B$10)^5</f>
        <v/>
      </c>
      <c r="BO11" s="17">
        <f>$B11*(1+Assumptions!$B$10)^5</f>
        <v/>
      </c>
      <c r="BP11" s="17">
        <f>$B11*(1+Assumptions!$B$10)^5</f>
        <v/>
      </c>
      <c r="BQ11" s="17">
        <f>$B11*(1+Assumptions!$B$10)^5</f>
        <v/>
      </c>
      <c r="BR11" s="17">
        <f>$B11*(1+Assumptions!$B$10)^5</f>
        <v/>
      </c>
      <c r="BS11" s="17">
        <f>$B11*(1+Assumptions!$B$10)^5</f>
        <v/>
      </c>
      <c r="BT11" s="17">
        <f>$B11*(1+Assumptions!$B$10)^5</f>
        <v/>
      </c>
      <c r="BU11" s="17">
        <f>$B11*(1+Assumptions!$B$10)^5</f>
        <v/>
      </c>
      <c r="BV11" s="17">
        <f>$B11*(1+Assumptions!$B$10)^5</f>
        <v/>
      </c>
      <c r="BW11" s="17">
        <f>$B11*(1+Assumptions!$B$10)^5</f>
        <v/>
      </c>
    </row>
    <row r="12">
      <c r="A12" t="inlineStr">
        <is>
          <t>Phone Service</t>
        </is>
      </c>
      <c r="B12" s="14" t="n">
        <v>4000</v>
      </c>
      <c r="D12" s="17">
        <f>$B12*(1+Assumptions!$B$10)^0</f>
        <v/>
      </c>
      <c r="E12" s="17">
        <f>$B12*(1+Assumptions!$B$10)^0</f>
        <v/>
      </c>
      <c r="F12" s="17">
        <f>$B12*(1+Assumptions!$B$10)^0</f>
        <v/>
      </c>
      <c r="G12" s="17">
        <f>$B12*(1+Assumptions!$B$10)^0</f>
        <v/>
      </c>
      <c r="H12" s="17">
        <f>$B12*(1+Assumptions!$B$10)^0</f>
        <v/>
      </c>
      <c r="I12" s="17">
        <f>$B12*(1+Assumptions!$B$10)^0</f>
        <v/>
      </c>
      <c r="J12" s="17">
        <f>$B12*(1+Assumptions!$B$10)^0</f>
        <v/>
      </c>
      <c r="K12" s="17">
        <f>$B12*(1+Assumptions!$B$10)^0</f>
        <v/>
      </c>
      <c r="L12" s="17">
        <f>$B12*(1+Assumptions!$B$10)^0</f>
        <v/>
      </c>
      <c r="M12" s="17">
        <f>$B12*(1+Assumptions!$B$10)^0</f>
        <v/>
      </c>
      <c r="N12" s="17">
        <f>$B12*(1+Assumptions!$B$10)^0</f>
        <v/>
      </c>
      <c r="O12" s="17">
        <f>$B12*(1+Assumptions!$B$10)^0</f>
        <v/>
      </c>
      <c r="P12" s="17">
        <f>$B12*(1+Assumptions!$B$10)^1</f>
        <v/>
      </c>
      <c r="Q12" s="17">
        <f>$B12*(1+Assumptions!$B$10)^1</f>
        <v/>
      </c>
      <c r="R12" s="17">
        <f>$B12*(1+Assumptions!$B$10)^1</f>
        <v/>
      </c>
      <c r="S12" s="17">
        <f>$B12*(1+Assumptions!$B$10)^1</f>
        <v/>
      </c>
      <c r="T12" s="17">
        <f>$B12*(1+Assumptions!$B$10)^1</f>
        <v/>
      </c>
      <c r="U12" s="17">
        <f>$B12*(1+Assumptions!$B$10)^1</f>
        <v/>
      </c>
      <c r="V12" s="17">
        <f>$B12*(1+Assumptions!$B$10)^1</f>
        <v/>
      </c>
      <c r="W12" s="17">
        <f>$B12*(1+Assumptions!$B$10)^1</f>
        <v/>
      </c>
      <c r="X12" s="17">
        <f>$B12*(1+Assumptions!$B$10)^1</f>
        <v/>
      </c>
      <c r="Y12" s="17">
        <f>$B12*(1+Assumptions!$B$10)^1</f>
        <v/>
      </c>
      <c r="Z12" s="17">
        <f>$B12*(1+Assumptions!$B$10)^1</f>
        <v/>
      </c>
      <c r="AA12" s="17">
        <f>$B12*(1+Assumptions!$B$10)^1</f>
        <v/>
      </c>
      <c r="AB12" s="17">
        <f>$B12*(1+Assumptions!$B$10)^2</f>
        <v/>
      </c>
      <c r="AC12" s="17">
        <f>$B12*(1+Assumptions!$B$10)^2</f>
        <v/>
      </c>
      <c r="AD12" s="17">
        <f>$B12*(1+Assumptions!$B$10)^2</f>
        <v/>
      </c>
      <c r="AE12" s="17">
        <f>$B12*(1+Assumptions!$B$10)^2</f>
        <v/>
      </c>
      <c r="AF12" s="17">
        <f>$B12*(1+Assumptions!$B$10)^2</f>
        <v/>
      </c>
      <c r="AG12" s="17">
        <f>$B12*(1+Assumptions!$B$10)^2</f>
        <v/>
      </c>
      <c r="AH12" s="17">
        <f>$B12*(1+Assumptions!$B$10)^2</f>
        <v/>
      </c>
      <c r="AI12" s="17">
        <f>$B12*(1+Assumptions!$B$10)^2</f>
        <v/>
      </c>
      <c r="AJ12" s="17">
        <f>$B12*(1+Assumptions!$B$10)^2</f>
        <v/>
      </c>
      <c r="AK12" s="17">
        <f>$B12*(1+Assumptions!$B$10)^2</f>
        <v/>
      </c>
      <c r="AL12" s="17">
        <f>$B12*(1+Assumptions!$B$10)^2</f>
        <v/>
      </c>
      <c r="AM12" s="17">
        <f>$B12*(1+Assumptions!$B$10)^2</f>
        <v/>
      </c>
      <c r="AN12" s="17">
        <f>$B12*(1+Assumptions!$B$10)^3</f>
        <v/>
      </c>
      <c r="AO12" s="17">
        <f>$B12*(1+Assumptions!$B$10)^3</f>
        <v/>
      </c>
      <c r="AP12" s="17">
        <f>$B12*(1+Assumptions!$B$10)^3</f>
        <v/>
      </c>
      <c r="AQ12" s="17">
        <f>$B12*(1+Assumptions!$B$10)^3</f>
        <v/>
      </c>
      <c r="AR12" s="17">
        <f>$B12*(1+Assumptions!$B$10)^3</f>
        <v/>
      </c>
      <c r="AS12" s="17">
        <f>$B12*(1+Assumptions!$B$10)^3</f>
        <v/>
      </c>
      <c r="AT12" s="17">
        <f>$B12*(1+Assumptions!$B$10)^3</f>
        <v/>
      </c>
      <c r="AU12" s="17">
        <f>$B12*(1+Assumptions!$B$10)^3</f>
        <v/>
      </c>
      <c r="AV12" s="17">
        <f>$B12*(1+Assumptions!$B$10)^3</f>
        <v/>
      </c>
      <c r="AW12" s="17">
        <f>$B12*(1+Assumptions!$B$10)^3</f>
        <v/>
      </c>
      <c r="AX12" s="17">
        <f>$B12*(1+Assumptions!$B$10)^3</f>
        <v/>
      </c>
      <c r="AY12" s="17">
        <f>$B12*(1+Assumptions!$B$10)^3</f>
        <v/>
      </c>
      <c r="AZ12" s="17">
        <f>$B12*(1+Assumptions!$B$10)^4</f>
        <v/>
      </c>
      <c r="BA12" s="17">
        <f>$B12*(1+Assumptions!$B$10)^4</f>
        <v/>
      </c>
      <c r="BB12" s="17">
        <f>$B12*(1+Assumptions!$B$10)^4</f>
        <v/>
      </c>
      <c r="BC12" s="17">
        <f>$B12*(1+Assumptions!$B$10)^4</f>
        <v/>
      </c>
      <c r="BD12" s="17">
        <f>$B12*(1+Assumptions!$B$10)^4</f>
        <v/>
      </c>
      <c r="BE12" s="17">
        <f>$B12*(1+Assumptions!$B$10)^4</f>
        <v/>
      </c>
      <c r="BF12" s="17">
        <f>$B12*(1+Assumptions!$B$10)^4</f>
        <v/>
      </c>
      <c r="BG12" s="17">
        <f>$B12*(1+Assumptions!$B$10)^4</f>
        <v/>
      </c>
      <c r="BH12" s="17">
        <f>$B12*(1+Assumptions!$B$10)^4</f>
        <v/>
      </c>
      <c r="BI12" s="17">
        <f>$B12*(1+Assumptions!$B$10)^4</f>
        <v/>
      </c>
      <c r="BJ12" s="17">
        <f>$B12*(1+Assumptions!$B$10)^4</f>
        <v/>
      </c>
      <c r="BK12" s="17">
        <f>$B12*(1+Assumptions!$B$10)^4</f>
        <v/>
      </c>
      <c r="BL12" s="17">
        <f>$B12*(1+Assumptions!$B$10)^5</f>
        <v/>
      </c>
      <c r="BM12" s="17">
        <f>$B12*(1+Assumptions!$B$10)^5</f>
        <v/>
      </c>
      <c r="BN12" s="17">
        <f>$B12*(1+Assumptions!$B$10)^5</f>
        <v/>
      </c>
      <c r="BO12" s="17">
        <f>$B12*(1+Assumptions!$B$10)^5</f>
        <v/>
      </c>
      <c r="BP12" s="17">
        <f>$B12*(1+Assumptions!$B$10)^5</f>
        <v/>
      </c>
      <c r="BQ12" s="17">
        <f>$B12*(1+Assumptions!$B$10)^5</f>
        <v/>
      </c>
      <c r="BR12" s="17">
        <f>$B12*(1+Assumptions!$B$10)^5</f>
        <v/>
      </c>
      <c r="BS12" s="17">
        <f>$B12*(1+Assumptions!$B$10)^5</f>
        <v/>
      </c>
      <c r="BT12" s="17">
        <f>$B12*(1+Assumptions!$B$10)^5</f>
        <v/>
      </c>
      <c r="BU12" s="17">
        <f>$B12*(1+Assumptions!$B$10)^5</f>
        <v/>
      </c>
      <c r="BV12" s="17">
        <f>$B12*(1+Assumptions!$B$10)^5</f>
        <v/>
      </c>
      <c r="BW12" s="17">
        <f>$B12*(1+Assumptions!$B$10)^5</f>
        <v/>
      </c>
    </row>
    <row r="13">
      <c r="A13" t="inlineStr">
        <is>
          <t>Professional Fees</t>
        </is>
      </c>
      <c r="B13" s="14" t="n">
        <v>20000</v>
      </c>
      <c r="D13" s="17">
        <f>$B13*(1+Assumptions!$B$10)^0</f>
        <v/>
      </c>
      <c r="E13" s="17">
        <f>$B13*(1+Assumptions!$B$10)^0</f>
        <v/>
      </c>
      <c r="F13" s="17">
        <f>$B13*(1+Assumptions!$B$10)^0</f>
        <v/>
      </c>
      <c r="G13" s="17">
        <f>$B13*(1+Assumptions!$B$10)^0</f>
        <v/>
      </c>
      <c r="H13" s="17">
        <f>$B13*(1+Assumptions!$B$10)^0</f>
        <v/>
      </c>
      <c r="I13" s="17">
        <f>$B13*(1+Assumptions!$B$10)^0</f>
        <v/>
      </c>
      <c r="J13" s="17">
        <f>$B13*(1+Assumptions!$B$10)^0</f>
        <v/>
      </c>
      <c r="K13" s="17">
        <f>$B13*(1+Assumptions!$B$10)^0</f>
        <v/>
      </c>
      <c r="L13" s="17">
        <f>$B13*(1+Assumptions!$B$10)^0</f>
        <v/>
      </c>
      <c r="M13" s="17">
        <f>$B13*(1+Assumptions!$B$10)^0</f>
        <v/>
      </c>
      <c r="N13" s="17">
        <f>$B13*(1+Assumptions!$B$10)^0</f>
        <v/>
      </c>
      <c r="O13" s="17">
        <f>$B13*(1+Assumptions!$B$10)^0</f>
        <v/>
      </c>
      <c r="P13" s="17">
        <f>$B13*(1+Assumptions!$B$10)^1</f>
        <v/>
      </c>
      <c r="Q13" s="17">
        <f>$B13*(1+Assumptions!$B$10)^1</f>
        <v/>
      </c>
      <c r="R13" s="17">
        <f>$B13*(1+Assumptions!$B$10)^1</f>
        <v/>
      </c>
      <c r="S13" s="17">
        <f>$B13*(1+Assumptions!$B$10)^1</f>
        <v/>
      </c>
      <c r="T13" s="17">
        <f>$B13*(1+Assumptions!$B$10)^1</f>
        <v/>
      </c>
      <c r="U13" s="17">
        <f>$B13*(1+Assumptions!$B$10)^1</f>
        <v/>
      </c>
      <c r="V13" s="17">
        <f>$B13*(1+Assumptions!$B$10)^1</f>
        <v/>
      </c>
      <c r="W13" s="17">
        <f>$B13*(1+Assumptions!$B$10)^1</f>
        <v/>
      </c>
      <c r="X13" s="17">
        <f>$B13*(1+Assumptions!$B$10)^1</f>
        <v/>
      </c>
      <c r="Y13" s="17">
        <f>$B13*(1+Assumptions!$B$10)^1</f>
        <v/>
      </c>
      <c r="Z13" s="17">
        <f>$B13*(1+Assumptions!$B$10)^1</f>
        <v/>
      </c>
      <c r="AA13" s="17">
        <f>$B13*(1+Assumptions!$B$10)^1</f>
        <v/>
      </c>
      <c r="AB13" s="17">
        <f>$B13*(1+Assumptions!$B$10)^2</f>
        <v/>
      </c>
      <c r="AC13" s="17">
        <f>$B13*(1+Assumptions!$B$10)^2</f>
        <v/>
      </c>
      <c r="AD13" s="17">
        <f>$B13*(1+Assumptions!$B$10)^2</f>
        <v/>
      </c>
      <c r="AE13" s="17">
        <f>$B13*(1+Assumptions!$B$10)^2</f>
        <v/>
      </c>
      <c r="AF13" s="17">
        <f>$B13*(1+Assumptions!$B$10)^2</f>
        <v/>
      </c>
      <c r="AG13" s="17">
        <f>$B13*(1+Assumptions!$B$10)^2</f>
        <v/>
      </c>
      <c r="AH13" s="17">
        <f>$B13*(1+Assumptions!$B$10)^2</f>
        <v/>
      </c>
      <c r="AI13" s="17">
        <f>$B13*(1+Assumptions!$B$10)^2</f>
        <v/>
      </c>
      <c r="AJ13" s="17">
        <f>$B13*(1+Assumptions!$B$10)^2</f>
        <v/>
      </c>
      <c r="AK13" s="17">
        <f>$B13*(1+Assumptions!$B$10)^2</f>
        <v/>
      </c>
      <c r="AL13" s="17">
        <f>$B13*(1+Assumptions!$B$10)^2</f>
        <v/>
      </c>
      <c r="AM13" s="17">
        <f>$B13*(1+Assumptions!$B$10)^2</f>
        <v/>
      </c>
      <c r="AN13" s="17">
        <f>$B13*(1+Assumptions!$B$10)^3</f>
        <v/>
      </c>
      <c r="AO13" s="17">
        <f>$B13*(1+Assumptions!$B$10)^3</f>
        <v/>
      </c>
      <c r="AP13" s="17">
        <f>$B13*(1+Assumptions!$B$10)^3</f>
        <v/>
      </c>
      <c r="AQ13" s="17">
        <f>$B13*(1+Assumptions!$B$10)^3</f>
        <v/>
      </c>
      <c r="AR13" s="17">
        <f>$B13*(1+Assumptions!$B$10)^3</f>
        <v/>
      </c>
      <c r="AS13" s="17">
        <f>$B13*(1+Assumptions!$B$10)^3</f>
        <v/>
      </c>
      <c r="AT13" s="17">
        <f>$B13*(1+Assumptions!$B$10)^3</f>
        <v/>
      </c>
      <c r="AU13" s="17">
        <f>$B13*(1+Assumptions!$B$10)^3</f>
        <v/>
      </c>
      <c r="AV13" s="17">
        <f>$B13*(1+Assumptions!$B$10)^3</f>
        <v/>
      </c>
      <c r="AW13" s="17">
        <f>$B13*(1+Assumptions!$B$10)^3</f>
        <v/>
      </c>
      <c r="AX13" s="17">
        <f>$B13*(1+Assumptions!$B$10)^3</f>
        <v/>
      </c>
      <c r="AY13" s="17">
        <f>$B13*(1+Assumptions!$B$10)^3</f>
        <v/>
      </c>
      <c r="AZ13" s="17">
        <f>$B13*(1+Assumptions!$B$10)^4</f>
        <v/>
      </c>
      <c r="BA13" s="17">
        <f>$B13*(1+Assumptions!$B$10)^4</f>
        <v/>
      </c>
      <c r="BB13" s="17">
        <f>$B13*(1+Assumptions!$B$10)^4</f>
        <v/>
      </c>
      <c r="BC13" s="17">
        <f>$B13*(1+Assumptions!$B$10)^4</f>
        <v/>
      </c>
      <c r="BD13" s="17">
        <f>$B13*(1+Assumptions!$B$10)^4</f>
        <v/>
      </c>
      <c r="BE13" s="17">
        <f>$B13*(1+Assumptions!$B$10)^4</f>
        <v/>
      </c>
      <c r="BF13" s="17">
        <f>$B13*(1+Assumptions!$B$10)^4</f>
        <v/>
      </c>
      <c r="BG13" s="17">
        <f>$B13*(1+Assumptions!$B$10)^4</f>
        <v/>
      </c>
      <c r="BH13" s="17">
        <f>$B13*(1+Assumptions!$B$10)^4</f>
        <v/>
      </c>
      <c r="BI13" s="17">
        <f>$B13*(1+Assumptions!$B$10)^4</f>
        <v/>
      </c>
      <c r="BJ13" s="17">
        <f>$B13*(1+Assumptions!$B$10)^4</f>
        <v/>
      </c>
      <c r="BK13" s="17">
        <f>$B13*(1+Assumptions!$B$10)^4</f>
        <v/>
      </c>
      <c r="BL13" s="17">
        <f>$B13*(1+Assumptions!$B$10)^5</f>
        <v/>
      </c>
      <c r="BM13" s="17">
        <f>$B13*(1+Assumptions!$B$10)^5</f>
        <v/>
      </c>
      <c r="BN13" s="17">
        <f>$B13*(1+Assumptions!$B$10)^5</f>
        <v/>
      </c>
      <c r="BO13" s="17">
        <f>$B13*(1+Assumptions!$B$10)^5</f>
        <v/>
      </c>
      <c r="BP13" s="17">
        <f>$B13*(1+Assumptions!$B$10)^5</f>
        <v/>
      </c>
      <c r="BQ13" s="17">
        <f>$B13*(1+Assumptions!$B$10)^5</f>
        <v/>
      </c>
      <c r="BR13" s="17">
        <f>$B13*(1+Assumptions!$B$10)^5</f>
        <v/>
      </c>
      <c r="BS13" s="17">
        <f>$B13*(1+Assumptions!$B$10)^5</f>
        <v/>
      </c>
      <c r="BT13" s="17">
        <f>$B13*(1+Assumptions!$B$10)^5</f>
        <v/>
      </c>
      <c r="BU13" s="17">
        <f>$B13*(1+Assumptions!$B$10)^5</f>
        <v/>
      </c>
      <c r="BV13" s="17">
        <f>$B13*(1+Assumptions!$B$10)^5</f>
        <v/>
      </c>
      <c r="BW13" s="17">
        <f>$B13*(1+Assumptions!$B$10)^5</f>
        <v/>
      </c>
    </row>
    <row r="14">
      <c r="A14" t="inlineStr">
        <is>
          <t>Professional Fees — Legal</t>
        </is>
      </c>
      <c r="B14" s="14" t="n">
        <v>25000</v>
      </c>
      <c r="D14" s="17">
        <f>$B14*(1+Assumptions!$B$10)^0</f>
        <v/>
      </c>
      <c r="E14" s="17">
        <f>$B14*(1+Assumptions!$B$10)^0</f>
        <v/>
      </c>
      <c r="F14" s="17">
        <f>$B14*(1+Assumptions!$B$10)^0</f>
        <v/>
      </c>
      <c r="G14" s="17">
        <f>$B14*(1+Assumptions!$B$10)^0</f>
        <v/>
      </c>
      <c r="H14" s="17">
        <f>$B14*(1+Assumptions!$B$10)^0</f>
        <v/>
      </c>
      <c r="I14" s="17">
        <f>$B14*(1+Assumptions!$B$10)^0</f>
        <v/>
      </c>
      <c r="J14" s="17">
        <f>$B14*(1+Assumptions!$B$10)^0</f>
        <v/>
      </c>
      <c r="K14" s="17">
        <f>$B14*(1+Assumptions!$B$10)^0</f>
        <v/>
      </c>
      <c r="L14" s="17">
        <f>$B14*(1+Assumptions!$B$10)^0</f>
        <v/>
      </c>
      <c r="M14" s="17">
        <f>$B14*(1+Assumptions!$B$10)^0</f>
        <v/>
      </c>
      <c r="N14" s="17">
        <f>$B14*(1+Assumptions!$B$10)^0</f>
        <v/>
      </c>
      <c r="O14" s="17">
        <f>$B14*(1+Assumptions!$B$10)^0</f>
        <v/>
      </c>
      <c r="P14" s="17">
        <f>$B14*(1+Assumptions!$B$10)^1</f>
        <v/>
      </c>
      <c r="Q14" s="17">
        <f>$B14*(1+Assumptions!$B$10)^1</f>
        <v/>
      </c>
      <c r="R14" s="17">
        <f>$B14*(1+Assumptions!$B$10)^1</f>
        <v/>
      </c>
      <c r="S14" s="17">
        <f>$B14*(1+Assumptions!$B$10)^1</f>
        <v/>
      </c>
      <c r="T14" s="17">
        <f>$B14*(1+Assumptions!$B$10)^1</f>
        <v/>
      </c>
      <c r="U14" s="17">
        <f>$B14*(1+Assumptions!$B$10)^1</f>
        <v/>
      </c>
      <c r="V14" s="17">
        <f>$B14*(1+Assumptions!$B$10)^1</f>
        <v/>
      </c>
      <c r="W14" s="17">
        <f>$B14*(1+Assumptions!$B$10)^1</f>
        <v/>
      </c>
      <c r="X14" s="17">
        <f>$B14*(1+Assumptions!$B$10)^1</f>
        <v/>
      </c>
      <c r="Y14" s="17">
        <f>$B14*(1+Assumptions!$B$10)^1</f>
        <v/>
      </c>
      <c r="Z14" s="17">
        <f>$B14*(1+Assumptions!$B$10)^1</f>
        <v/>
      </c>
      <c r="AA14" s="17">
        <f>$B14*(1+Assumptions!$B$10)^1</f>
        <v/>
      </c>
      <c r="AB14" s="17">
        <f>$B14*(1+Assumptions!$B$10)^2</f>
        <v/>
      </c>
      <c r="AC14" s="17">
        <f>$B14*(1+Assumptions!$B$10)^2</f>
        <v/>
      </c>
      <c r="AD14" s="17">
        <f>$B14*(1+Assumptions!$B$10)^2</f>
        <v/>
      </c>
      <c r="AE14" s="17">
        <f>$B14*(1+Assumptions!$B$10)^2</f>
        <v/>
      </c>
      <c r="AF14" s="17">
        <f>$B14*(1+Assumptions!$B$10)^2</f>
        <v/>
      </c>
      <c r="AG14" s="17">
        <f>$B14*(1+Assumptions!$B$10)^2</f>
        <v/>
      </c>
      <c r="AH14" s="17">
        <f>$B14*(1+Assumptions!$B$10)^2</f>
        <v/>
      </c>
      <c r="AI14" s="17">
        <f>$B14*(1+Assumptions!$B$10)^2</f>
        <v/>
      </c>
      <c r="AJ14" s="17">
        <f>$B14*(1+Assumptions!$B$10)^2</f>
        <v/>
      </c>
      <c r="AK14" s="17">
        <f>$B14*(1+Assumptions!$B$10)^2</f>
        <v/>
      </c>
      <c r="AL14" s="17">
        <f>$B14*(1+Assumptions!$B$10)^2</f>
        <v/>
      </c>
      <c r="AM14" s="17">
        <f>$B14*(1+Assumptions!$B$10)^2</f>
        <v/>
      </c>
      <c r="AN14" s="17">
        <f>$B14*(1+Assumptions!$B$10)^3</f>
        <v/>
      </c>
      <c r="AO14" s="17">
        <f>$B14*(1+Assumptions!$B$10)^3</f>
        <v/>
      </c>
      <c r="AP14" s="17">
        <f>$B14*(1+Assumptions!$B$10)^3</f>
        <v/>
      </c>
      <c r="AQ14" s="17">
        <f>$B14*(1+Assumptions!$B$10)^3</f>
        <v/>
      </c>
      <c r="AR14" s="17">
        <f>$B14*(1+Assumptions!$B$10)^3</f>
        <v/>
      </c>
      <c r="AS14" s="17">
        <f>$B14*(1+Assumptions!$B$10)^3</f>
        <v/>
      </c>
      <c r="AT14" s="17">
        <f>$B14*(1+Assumptions!$B$10)^3</f>
        <v/>
      </c>
      <c r="AU14" s="17">
        <f>$B14*(1+Assumptions!$B$10)^3</f>
        <v/>
      </c>
      <c r="AV14" s="17">
        <f>$B14*(1+Assumptions!$B$10)^3</f>
        <v/>
      </c>
      <c r="AW14" s="17">
        <f>$B14*(1+Assumptions!$B$10)^3</f>
        <v/>
      </c>
      <c r="AX14" s="17">
        <f>$B14*(1+Assumptions!$B$10)^3</f>
        <v/>
      </c>
      <c r="AY14" s="17">
        <f>$B14*(1+Assumptions!$B$10)^3</f>
        <v/>
      </c>
      <c r="AZ14" s="17">
        <f>$B14*(1+Assumptions!$B$10)^4</f>
        <v/>
      </c>
      <c r="BA14" s="17">
        <f>$B14*(1+Assumptions!$B$10)^4</f>
        <v/>
      </c>
      <c r="BB14" s="17">
        <f>$B14*(1+Assumptions!$B$10)^4</f>
        <v/>
      </c>
      <c r="BC14" s="17">
        <f>$B14*(1+Assumptions!$B$10)^4</f>
        <v/>
      </c>
      <c r="BD14" s="17">
        <f>$B14*(1+Assumptions!$B$10)^4</f>
        <v/>
      </c>
      <c r="BE14" s="17">
        <f>$B14*(1+Assumptions!$B$10)^4</f>
        <v/>
      </c>
      <c r="BF14" s="17">
        <f>$B14*(1+Assumptions!$B$10)^4</f>
        <v/>
      </c>
      <c r="BG14" s="17">
        <f>$B14*(1+Assumptions!$B$10)^4</f>
        <v/>
      </c>
      <c r="BH14" s="17">
        <f>$B14*(1+Assumptions!$B$10)^4</f>
        <v/>
      </c>
      <c r="BI14" s="17">
        <f>$B14*(1+Assumptions!$B$10)^4</f>
        <v/>
      </c>
      <c r="BJ14" s="17">
        <f>$B14*(1+Assumptions!$B$10)^4</f>
        <v/>
      </c>
      <c r="BK14" s="17">
        <f>$B14*(1+Assumptions!$B$10)^4</f>
        <v/>
      </c>
      <c r="BL14" s="17">
        <f>$B14*(1+Assumptions!$B$10)^5</f>
        <v/>
      </c>
      <c r="BM14" s="17">
        <f>$B14*(1+Assumptions!$B$10)^5</f>
        <v/>
      </c>
      <c r="BN14" s="17">
        <f>$B14*(1+Assumptions!$B$10)^5</f>
        <v/>
      </c>
      <c r="BO14" s="17">
        <f>$B14*(1+Assumptions!$B$10)^5</f>
        <v/>
      </c>
      <c r="BP14" s="17">
        <f>$B14*(1+Assumptions!$B$10)^5</f>
        <v/>
      </c>
      <c r="BQ14" s="17">
        <f>$B14*(1+Assumptions!$B$10)^5</f>
        <v/>
      </c>
      <c r="BR14" s="17">
        <f>$B14*(1+Assumptions!$B$10)^5</f>
        <v/>
      </c>
      <c r="BS14" s="17">
        <f>$B14*(1+Assumptions!$B$10)^5</f>
        <v/>
      </c>
      <c r="BT14" s="17">
        <f>$B14*(1+Assumptions!$B$10)^5</f>
        <v/>
      </c>
      <c r="BU14" s="17">
        <f>$B14*(1+Assumptions!$B$10)^5</f>
        <v/>
      </c>
      <c r="BV14" s="17">
        <f>$B14*(1+Assumptions!$B$10)^5</f>
        <v/>
      </c>
      <c r="BW14" s="17">
        <f>$B14*(1+Assumptions!$B$10)^5</f>
        <v/>
      </c>
    </row>
    <row r="15">
      <c r="A15" t="inlineStr">
        <is>
          <t>Rent — Clearwater</t>
        </is>
      </c>
      <c r="B15" s="14" t="n">
        <v>35000</v>
      </c>
      <c r="D15" s="17">
        <f>$B15*(1+Assumptions!$B$10)^0</f>
        <v/>
      </c>
      <c r="E15" s="17">
        <f>$B15*(1+Assumptions!$B$10)^0</f>
        <v/>
      </c>
      <c r="F15" s="17">
        <f>$B15*(1+Assumptions!$B$10)^0</f>
        <v/>
      </c>
      <c r="G15" s="17">
        <f>$B15*(1+Assumptions!$B$10)^0</f>
        <v/>
      </c>
      <c r="H15" s="17">
        <f>$B15*(1+Assumptions!$B$10)^0</f>
        <v/>
      </c>
      <c r="I15" s="17">
        <f>$B15*(1+Assumptions!$B$10)^0</f>
        <v/>
      </c>
      <c r="J15" s="17">
        <f>$B15*(1+Assumptions!$B$10)^0</f>
        <v/>
      </c>
      <c r="K15" s="17">
        <f>$B15*(1+Assumptions!$B$10)^0</f>
        <v/>
      </c>
      <c r="L15" s="17">
        <f>$B15*(1+Assumptions!$B$10)^0</f>
        <v/>
      </c>
      <c r="M15" s="17">
        <f>$B15*(1+Assumptions!$B$10)^0</f>
        <v/>
      </c>
      <c r="N15" s="17">
        <f>$B15*(1+Assumptions!$B$10)^0</f>
        <v/>
      </c>
      <c r="O15" s="17">
        <f>$B15*(1+Assumptions!$B$10)^0</f>
        <v/>
      </c>
      <c r="P15" s="17">
        <f>$B15*(1+Assumptions!$B$10)^1</f>
        <v/>
      </c>
      <c r="Q15" s="17">
        <f>$B15*(1+Assumptions!$B$10)^1</f>
        <v/>
      </c>
      <c r="R15" s="17">
        <f>$B15*(1+Assumptions!$B$10)^1</f>
        <v/>
      </c>
      <c r="S15" s="17">
        <f>$B15*(1+Assumptions!$B$10)^1</f>
        <v/>
      </c>
      <c r="T15" s="17">
        <f>$B15*(1+Assumptions!$B$10)^1</f>
        <v/>
      </c>
      <c r="U15" s="17">
        <f>$B15*(1+Assumptions!$B$10)^1</f>
        <v/>
      </c>
      <c r="V15" s="17">
        <f>$B15*(1+Assumptions!$B$10)^1</f>
        <v/>
      </c>
      <c r="W15" s="17">
        <f>$B15*(1+Assumptions!$B$10)^1</f>
        <v/>
      </c>
      <c r="X15" s="17">
        <f>$B15*(1+Assumptions!$B$10)^1</f>
        <v/>
      </c>
      <c r="Y15" s="17">
        <f>$B15*(1+Assumptions!$B$10)^1</f>
        <v/>
      </c>
      <c r="Z15" s="17">
        <f>$B15*(1+Assumptions!$B$10)^1</f>
        <v/>
      </c>
      <c r="AA15" s="17">
        <f>$B15*(1+Assumptions!$B$10)^1</f>
        <v/>
      </c>
      <c r="AB15" s="17">
        <f>$B15*(1+Assumptions!$B$10)^2</f>
        <v/>
      </c>
      <c r="AC15" s="17">
        <f>$B15*(1+Assumptions!$B$10)^2</f>
        <v/>
      </c>
      <c r="AD15" s="17">
        <f>$B15*(1+Assumptions!$B$10)^2</f>
        <v/>
      </c>
      <c r="AE15" s="17">
        <f>$B15*(1+Assumptions!$B$10)^2</f>
        <v/>
      </c>
      <c r="AF15" s="17">
        <f>$B15*(1+Assumptions!$B$10)^2</f>
        <v/>
      </c>
      <c r="AG15" s="17">
        <f>$B15*(1+Assumptions!$B$10)^2</f>
        <v/>
      </c>
      <c r="AH15" s="17">
        <f>$B15*(1+Assumptions!$B$10)^2</f>
        <v/>
      </c>
      <c r="AI15" s="17">
        <f>$B15*(1+Assumptions!$B$10)^2</f>
        <v/>
      </c>
      <c r="AJ15" s="17">
        <f>$B15*(1+Assumptions!$B$10)^2</f>
        <v/>
      </c>
      <c r="AK15" s="17">
        <f>$B15*(1+Assumptions!$B$10)^2</f>
        <v/>
      </c>
      <c r="AL15" s="17">
        <f>$B15*(1+Assumptions!$B$10)^2</f>
        <v/>
      </c>
      <c r="AM15" s="17">
        <f>$B15*(1+Assumptions!$B$10)^2</f>
        <v/>
      </c>
      <c r="AN15" s="17">
        <f>$B15*(1+Assumptions!$B$10)^3</f>
        <v/>
      </c>
      <c r="AO15" s="17">
        <f>$B15*(1+Assumptions!$B$10)^3</f>
        <v/>
      </c>
      <c r="AP15" s="17">
        <f>$B15*(1+Assumptions!$B$10)^3</f>
        <v/>
      </c>
      <c r="AQ15" s="17">
        <f>$B15*(1+Assumptions!$B$10)^3</f>
        <v/>
      </c>
      <c r="AR15" s="17">
        <f>$B15*(1+Assumptions!$B$10)^3</f>
        <v/>
      </c>
      <c r="AS15" s="17">
        <f>$B15*(1+Assumptions!$B$10)^3</f>
        <v/>
      </c>
      <c r="AT15" s="17">
        <f>$B15*(1+Assumptions!$B$10)^3</f>
        <v/>
      </c>
      <c r="AU15" s="17">
        <f>$B15*(1+Assumptions!$B$10)^3</f>
        <v/>
      </c>
      <c r="AV15" s="17">
        <f>$B15*(1+Assumptions!$B$10)^3</f>
        <v/>
      </c>
      <c r="AW15" s="17">
        <f>$B15*(1+Assumptions!$B$10)^3</f>
        <v/>
      </c>
      <c r="AX15" s="17">
        <f>$B15*(1+Assumptions!$B$10)^3</f>
        <v/>
      </c>
      <c r="AY15" s="17">
        <f>$B15*(1+Assumptions!$B$10)^3</f>
        <v/>
      </c>
      <c r="AZ15" s="17">
        <f>$B15*(1+Assumptions!$B$10)^4</f>
        <v/>
      </c>
      <c r="BA15" s="17">
        <f>$B15*(1+Assumptions!$B$10)^4</f>
        <v/>
      </c>
      <c r="BB15" s="17">
        <f>$B15*(1+Assumptions!$B$10)^4</f>
        <v/>
      </c>
      <c r="BC15" s="17">
        <f>$B15*(1+Assumptions!$B$10)^4</f>
        <v/>
      </c>
      <c r="BD15" s="17">
        <f>$B15*(1+Assumptions!$B$10)^4</f>
        <v/>
      </c>
      <c r="BE15" s="17">
        <f>$B15*(1+Assumptions!$B$10)^4</f>
        <v/>
      </c>
      <c r="BF15" s="17">
        <f>$B15*(1+Assumptions!$B$10)^4</f>
        <v/>
      </c>
      <c r="BG15" s="17">
        <f>$B15*(1+Assumptions!$B$10)^4</f>
        <v/>
      </c>
      <c r="BH15" s="17">
        <f>$B15*(1+Assumptions!$B$10)^4</f>
        <v/>
      </c>
      <c r="BI15" s="17">
        <f>$B15*(1+Assumptions!$B$10)^4</f>
        <v/>
      </c>
      <c r="BJ15" s="17">
        <f>$B15*(1+Assumptions!$B$10)^4</f>
        <v/>
      </c>
      <c r="BK15" s="17">
        <f>$B15*(1+Assumptions!$B$10)^4</f>
        <v/>
      </c>
      <c r="BL15" s="17">
        <f>$B15*(1+Assumptions!$B$10)^5</f>
        <v/>
      </c>
      <c r="BM15" s="17">
        <f>$B15*(1+Assumptions!$B$10)^5</f>
        <v/>
      </c>
      <c r="BN15" s="17">
        <f>$B15*(1+Assumptions!$B$10)^5</f>
        <v/>
      </c>
      <c r="BO15" s="17">
        <f>$B15*(1+Assumptions!$B$10)^5</f>
        <v/>
      </c>
      <c r="BP15" s="17">
        <f>$B15*(1+Assumptions!$B$10)^5</f>
        <v/>
      </c>
      <c r="BQ15" s="17">
        <f>$B15*(1+Assumptions!$B$10)^5</f>
        <v/>
      </c>
      <c r="BR15" s="17">
        <f>$B15*(1+Assumptions!$B$10)^5</f>
        <v/>
      </c>
      <c r="BS15" s="17">
        <f>$B15*(1+Assumptions!$B$10)^5</f>
        <v/>
      </c>
      <c r="BT15" s="17">
        <f>$B15*(1+Assumptions!$B$10)^5</f>
        <v/>
      </c>
      <c r="BU15" s="17">
        <f>$B15*(1+Assumptions!$B$10)^5</f>
        <v/>
      </c>
      <c r="BV15" s="17">
        <f>$B15*(1+Assumptions!$B$10)^5</f>
        <v/>
      </c>
      <c r="BW15" s="17">
        <f>$B15*(1+Assumptions!$B$10)^5</f>
        <v/>
      </c>
    </row>
    <row r="16">
      <c r="A16" t="inlineStr">
        <is>
          <t>Rent — Redhill</t>
        </is>
      </c>
      <c r="B16" s="14" t="n">
        <v>18000</v>
      </c>
      <c r="D16" s="17">
        <f>$B16*(1+Assumptions!$B$10)^0</f>
        <v/>
      </c>
      <c r="E16" s="17">
        <f>$B16*(1+Assumptions!$B$10)^0</f>
        <v/>
      </c>
      <c r="F16" s="17">
        <f>$B16*(1+Assumptions!$B$10)^0</f>
        <v/>
      </c>
      <c r="G16" s="17">
        <f>$B16*(1+Assumptions!$B$10)^0</f>
        <v/>
      </c>
      <c r="H16" s="17">
        <f>$B16*(1+Assumptions!$B$10)^0</f>
        <v/>
      </c>
      <c r="I16" s="17">
        <f>$B16*(1+Assumptions!$B$10)^0</f>
        <v/>
      </c>
      <c r="J16" s="17">
        <f>$B16*(1+Assumptions!$B$10)^0</f>
        <v/>
      </c>
      <c r="K16" s="17">
        <f>$B16*(1+Assumptions!$B$10)^0</f>
        <v/>
      </c>
      <c r="L16" s="17">
        <f>$B16*(1+Assumptions!$B$10)^0</f>
        <v/>
      </c>
      <c r="M16" s="17">
        <f>$B16*(1+Assumptions!$B$10)^0</f>
        <v/>
      </c>
      <c r="N16" s="17">
        <f>$B16*(1+Assumptions!$B$10)^0</f>
        <v/>
      </c>
      <c r="O16" s="17">
        <f>$B16*(1+Assumptions!$B$10)^0</f>
        <v/>
      </c>
      <c r="P16" s="17">
        <f>$B16*(1+Assumptions!$B$10)^1</f>
        <v/>
      </c>
      <c r="Q16" s="17">
        <f>$B16*(1+Assumptions!$B$10)^1</f>
        <v/>
      </c>
      <c r="R16" s="17">
        <f>$B16*(1+Assumptions!$B$10)^1</f>
        <v/>
      </c>
      <c r="S16" s="17">
        <f>$B16*(1+Assumptions!$B$10)^1</f>
        <v/>
      </c>
      <c r="T16" s="17">
        <f>$B16*(1+Assumptions!$B$10)^1</f>
        <v/>
      </c>
      <c r="U16" s="17">
        <f>$B16*(1+Assumptions!$B$10)^1</f>
        <v/>
      </c>
      <c r="V16" s="17">
        <f>$B16*(1+Assumptions!$B$10)^1</f>
        <v/>
      </c>
      <c r="W16" s="17">
        <f>$B16*(1+Assumptions!$B$10)^1</f>
        <v/>
      </c>
      <c r="X16" s="17">
        <f>$B16*(1+Assumptions!$B$10)^1</f>
        <v/>
      </c>
      <c r="Y16" s="17">
        <f>$B16*(1+Assumptions!$B$10)^1</f>
        <v/>
      </c>
      <c r="Z16" s="17">
        <f>$B16*(1+Assumptions!$B$10)^1</f>
        <v/>
      </c>
      <c r="AA16" s="17">
        <f>$B16*(1+Assumptions!$B$10)^1</f>
        <v/>
      </c>
      <c r="AB16" s="17">
        <f>$B16*(1+Assumptions!$B$10)^2</f>
        <v/>
      </c>
      <c r="AC16" s="17">
        <f>$B16*(1+Assumptions!$B$10)^2</f>
        <v/>
      </c>
      <c r="AD16" s="17">
        <f>$B16*(1+Assumptions!$B$10)^2</f>
        <v/>
      </c>
      <c r="AE16" s="17">
        <f>$B16*(1+Assumptions!$B$10)^2</f>
        <v/>
      </c>
      <c r="AF16" s="17">
        <f>$B16*(1+Assumptions!$B$10)^2</f>
        <v/>
      </c>
      <c r="AG16" s="17">
        <f>$B16*(1+Assumptions!$B$10)^2</f>
        <v/>
      </c>
      <c r="AH16" s="17">
        <f>$B16*(1+Assumptions!$B$10)^2</f>
        <v/>
      </c>
      <c r="AI16" s="17">
        <f>$B16*(1+Assumptions!$B$10)^2</f>
        <v/>
      </c>
      <c r="AJ16" s="17">
        <f>$B16*(1+Assumptions!$B$10)^2</f>
        <v/>
      </c>
      <c r="AK16" s="17">
        <f>$B16*(1+Assumptions!$B$10)^2</f>
        <v/>
      </c>
      <c r="AL16" s="17">
        <f>$B16*(1+Assumptions!$B$10)^2</f>
        <v/>
      </c>
      <c r="AM16" s="17">
        <f>$B16*(1+Assumptions!$B$10)^2</f>
        <v/>
      </c>
      <c r="AN16" s="17">
        <f>$B16*(1+Assumptions!$B$10)^3</f>
        <v/>
      </c>
      <c r="AO16" s="17">
        <f>$B16*(1+Assumptions!$B$10)^3</f>
        <v/>
      </c>
      <c r="AP16" s="17">
        <f>$B16*(1+Assumptions!$B$10)^3</f>
        <v/>
      </c>
      <c r="AQ16" s="17">
        <f>$B16*(1+Assumptions!$B$10)^3</f>
        <v/>
      </c>
      <c r="AR16" s="17">
        <f>$B16*(1+Assumptions!$B$10)^3</f>
        <v/>
      </c>
      <c r="AS16" s="17">
        <f>$B16*(1+Assumptions!$B$10)^3</f>
        <v/>
      </c>
      <c r="AT16" s="17">
        <f>$B16*(1+Assumptions!$B$10)^3</f>
        <v/>
      </c>
      <c r="AU16" s="17">
        <f>$B16*(1+Assumptions!$B$10)^3</f>
        <v/>
      </c>
      <c r="AV16" s="17">
        <f>$B16*(1+Assumptions!$B$10)^3</f>
        <v/>
      </c>
      <c r="AW16" s="17">
        <f>$B16*(1+Assumptions!$B$10)^3</f>
        <v/>
      </c>
      <c r="AX16" s="17">
        <f>$B16*(1+Assumptions!$B$10)^3</f>
        <v/>
      </c>
      <c r="AY16" s="17">
        <f>$B16*(1+Assumptions!$B$10)^3</f>
        <v/>
      </c>
      <c r="AZ16" s="17">
        <f>$B16*(1+Assumptions!$B$10)^4</f>
        <v/>
      </c>
      <c r="BA16" s="17">
        <f>$B16*(1+Assumptions!$B$10)^4</f>
        <v/>
      </c>
      <c r="BB16" s="17">
        <f>$B16*(1+Assumptions!$B$10)^4</f>
        <v/>
      </c>
      <c r="BC16" s="17">
        <f>$B16*(1+Assumptions!$B$10)^4</f>
        <v/>
      </c>
      <c r="BD16" s="17">
        <f>$B16*(1+Assumptions!$B$10)^4</f>
        <v/>
      </c>
      <c r="BE16" s="17">
        <f>$B16*(1+Assumptions!$B$10)^4</f>
        <v/>
      </c>
      <c r="BF16" s="17">
        <f>$B16*(1+Assumptions!$B$10)^4</f>
        <v/>
      </c>
      <c r="BG16" s="17">
        <f>$B16*(1+Assumptions!$B$10)^4</f>
        <v/>
      </c>
      <c r="BH16" s="17">
        <f>$B16*(1+Assumptions!$B$10)^4</f>
        <v/>
      </c>
      <c r="BI16" s="17">
        <f>$B16*(1+Assumptions!$B$10)^4</f>
        <v/>
      </c>
      <c r="BJ16" s="17">
        <f>$B16*(1+Assumptions!$B$10)^4</f>
        <v/>
      </c>
      <c r="BK16" s="17">
        <f>$B16*(1+Assumptions!$B$10)^4</f>
        <v/>
      </c>
      <c r="BL16" s="17">
        <f>$B16*(1+Assumptions!$B$10)^5</f>
        <v/>
      </c>
      <c r="BM16" s="17">
        <f>$B16*(1+Assumptions!$B$10)^5</f>
        <v/>
      </c>
      <c r="BN16" s="17">
        <f>$B16*(1+Assumptions!$B$10)^5</f>
        <v/>
      </c>
      <c r="BO16" s="17">
        <f>$B16*(1+Assumptions!$B$10)^5</f>
        <v/>
      </c>
      <c r="BP16" s="17">
        <f>$B16*(1+Assumptions!$B$10)^5</f>
        <v/>
      </c>
      <c r="BQ16" s="17">
        <f>$B16*(1+Assumptions!$B$10)^5</f>
        <v/>
      </c>
      <c r="BR16" s="17">
        <f>$B16*(1+Assumptions!$B$10)^5</f>
        <v/>
      </c>
      <c r="BS16" s="17">
        <f>$B16*(1+Assumptions!$B$10)^5</f>
        <v/>
      </c>
      <c r="BT16" s="17">
        <f>$B16*(1+Assumptions!$B$10)^5</f>
        <v/>
      </c>
      <c r="BU16" s="17">
        <f>$B16*(1+Assumptions!$B$10)^5</f>
        <v/>
      </c>
      <c r="BV16" s="17">
        <f>$B16*(1+Assumptions!$B$10)^5</f>
        <v/>
      </c>
      <c r="BW16" s="17">
        <f>$B16*(1+Assumptions!$B$10)^5</f>
        <v/>
      </c>
    </row>
    <row r="17">
      <c r="A17" t="inlineStr">
        <is>
          <t>Travel &amp; Entertainment</t>
        </is>
      </c>
      <c r="B17" s="14" t="n">
        <v>12000</v>
      </c>
      <c r="D17" s="17">
        <f>$B17*(1+Assumptions!$B$10)^0</f>
        <v/>
      </c>
      <c r="E17" s="17">
        <f>$B17*(1+Assumptions!$B$10)^0</f>
        <v/>
      </c>
      <c r="F17" s="17">
        <f>$B17*(1+Assumptions!$B$10)^0</f>
        <v/>
      </c>
      <c r="G17" s="17">
        <f>$B17*(1+Assumptions!$B$10)^0</f>
        <v/>
      </c>
      <c r="H17" s="17">
        <f>$B17*(1+Assumptions!$B$10)^0</f>
        <v/>
      </c>
      <c r="I17" s="17">
        <f>$B17*(1+Assumptions!$B$10)^0</f>
        <v/>
      </c>
      <c r="J17" s="17">
        <f>$B17*(1+Assumptions!$B$10)^0</f>
        <v/>
      </c>
      <c r="K17" s="17">
        <f>$B17*(1+Assumptions!$B$10)^0</f>
        <v/>
      </c>
      <c r="L17" s="17">
        <f>$B17*(1+Assumptions!$B$10)^0</f>
        <v/>
      </c>
      <c r="M17" s="17">
        <f>$B17*(1+Assumptions!$B$10)^0</f>
        <v/>
      </c>
      <c r="N17" s="17">
        <f>$B17*(1+Assumptions!$B$10)^0</f>
        <v/>
      </c>
      <c r="O17" s="17">
        <f>$B17*(1+Assumptions!$B$10)^0</f>
        <v/>
      </c>
      <c r="P17" s="17">
        <f>$B17*(1+Assumptions!$B$10)^1</f>
        <v/>
      </c>
      <c r="Q17" s="17">
        <f>$B17*(1+Assumptions!$B$10)^1</f>
        <v/>
      </c>
      <c r="R17" s="17">
        <f>$B17*(1+Assumptions!$B$10)^1</f>
        <v/>
      </c>
      <c r="S17" s="17">
        <f>$B17*(1+Assumptions!$B$10)^1</f>
        <v/>
      </c>
      <c r="T17" s="17">
        <f>$B17*(1+Assumptions!$B$10)^1</f>
        <v/>
      </c>
      <c r="U17" s="17">
        <f>$B17*(1+Assumptions!$B$10)^1</f>
        <v/>
      </c>
      <c r="V17" s="17">
        <f>$B17*(1+Assumptions!$B$10)^1</f>
        <v/>
      </c>
      <c r="W17" s="17">
        <f>$B17*(1+Assumptions!$B$10)^1</f>
        <v/>
      </c>
      <c r="X17" s="17">
        <f>$B17*(1+Assumptions!$B$10)^1</f>
        <v/>
      </c>
      <c r="Y17" s="17">
        <f>$B17*(1+Assumptions!$B$10)^1</f>
        <v/>
      </c>
      <c r="Z17" s="17">
        <f>$B17*(1+Assumptions!$B$10)^1</f>
        <v/>
      </c>
      <c r="AA17" s="17">
        <f>$B17*(1+Assumptions!$B$10)^1</f>
        <v/>
      </c>
      <c r="AB17" s="17">
        <f>$B17*(1+Assumptions!$B$10)^2</f>
        <v/>
      </c>
      <c r="AC17" s="17">
        <f>$B17*(1+Assumptions!$B$10)^2</f>
        <v/>
      </c>
      <c r="AD17" s="17">
        <f>$B17*(1+Assumptions!$B$10)^2</f>
        <v/>
      </c>
      <c r="AE17" s="17">
        <f>$B17*(1+Assumptions!$B$10)^2</f>
        <v/>
      </c>
      <c r="AF17" s="17">
        <f>$B17*(1+Assumptions!$B$10)^2</f>
        <v/>
      </c>
      <c r="AG17" s="17">
        <f>$B17*(1+Assumptions!$B$10)^2</f>
        <v/>
      </c>
      <c r="AH17" s="17">
        <f>$B17*(1+Assumptions!$B$10)^2</f>
        <v/>
      </c>
      <c r="AI17" s="17">
        <f>$B17*(1+Assumptions!$B$10)^2</f>
        <v/>
      </c>
      <c r="AJ17" s="17">
        <f>$B17*(1+Assumptions!$B$10)^2</f>
        <v/>
      </c>
      <c r="AK17" s="17">
        <f>$B17*(1+Assumptions!$B$10)^2</f>
        <v/>
      </c>
      <c r="AL17" s="17">
        <f>$B17*(1+Assumptions!$B$10)^2</f>
        <v/>
      </c>
      <c r="AM17" s="17">
        <f>$B17*(1+Assumptions!$B$10)^2</f>
        <v/>
      </c>
      <c r="AN17" s="17">
        <f>$B17*(1+Assumptions!$B$10)^3</f>
        <v/>
      </c>
      <c r="AO17" s="17">
        <f>$B17*(1+Assumptions!$B$10)^3</f>
        <v/>
      </c>
      <c r="AP17" s="17">
        <f>$B17*(1+Assumptions!$B$10)^3</f>
        <v/>
      </c>
      <c r="AQ17" s="17">
        <f>$B17*(1+Assumptions!$B$10)^3</f>
        <v/>
      </c>
      <c r="AR17" s="17">
        <f>$B17*(1+Assumptions!$B$10)^3</f>
        <v/>
      </c>
      <c r="AS17" s="17">
        <f>$B17*(1+Assumptions!$B$10)^3</f>
        <v/>
      </c>
      <c r="AT17" s="17">
        <f>$B17*(1+Assumptions!$B$10)^3</f>
        <v/>
      </c>
      <c r="AU17" s="17">
        <f>$B17*(1+Assumptions!$B$10)^3</f>
        <v/>
      </c>
      <c r="AV17" s="17">
        <f>$B17*(1+Assumptions!$B$10)^3</f>
        <v/>
      </c>
      <c r="AW17" s="17">
        <f>$B17*(1+Assumptions!$B$10)^3</f>
        <v/>
      </c>
      <c r="AX17" s="17">
        <f>$B17*(1+Assumptions!$B$10)^3</f>
        <v/>
      </c>
      <c r="AY17" s="17">
        <f>$B17*(1+Assumptions!$B$10)^3</f>
        <v/>
      </c>
      <c r="AZ17" s="17">
        <f>$B17*(1+Assumptions!$B$10)^4</f>
        <v/>
      </c>
      <c r="BA17" s="17">
        <f>$B17*(1+Assumptions!$B$10)^4</f>
        <v/>
      </c>
      <c r="BB17" s="17">
        <f>$B17*(1+Assumptions!$B$10)^4</f>
        <v/>
      </c>
      <c r="BC17" s="17">
        <f>$B17*(1+Assumptions!$B$10)^4</f>
        <v/>
      </c>
      <c r="BD17" s="17">
        <f>$B17*(1+Assumptions!$B$10)^4</f>
        <v/>
      </c>
      <c r="BE17" s="17">
        <f>$B17*(1+Assumptions!$B$10)^4</f>
        <v/>
      </c>
      <c r="BF17" s="17">
        <f>$B17*(1+Assumptions!$B$10)^4</f>
        <v/>
      </c>
      <c r="BG17" s="17">
        <f>$B17*(1+Assumptions!$B$10)^4</f>
        <v/>
      </c>
      <c r="BH17" s="17">
        <f>$B17*(1+Assumptions!$B$10)^4</f>
        <v/>
      </c>
      <c r="BI17" s="17">
        <f>$B17*(1+Assumptions!$B$10)^4</f>
        <v/>
      </c>
      <c r="BJ17" s="17">
        <f>$B17*(1+Assumptions!$B$10)^4</f>
        <v/>
      </c>
      <c r="BK17" s="17">
        <f>$B17*(1+Assumptions!$B$10)^4</f>
        <v/>
      </c>
      <c r="BL17" s="17">
        <f>$B17*(1+Assumptions!$B$10)^5</f>
        <v/>
      </c>
      <c r="BM17" s="17">
        <f>$B17*(1+Assumptions!$B$10)^5</f>
        <v/>
      </c>
      <c r="BN17" s="17">
        <f>$B17*(1+Assumptions!$B$10)^5</f>
        <v/>
      </c>
      <c r="BO17" s="17">
        <f>$B17*(1+Assumptions!$B$10)^5</f>
        <v/>
      </c>
      <c r="BP17" s="17">
        <f>$B17*(1+Assumptions!$B$10)^5</f>
        <v/>
      </c>
      <c r="BQ17" s="17">
        <f>$B17*(1+Assumptions!$B$10)^5</f>
        <v/>
      </c>
      <c r="BR17" s="17">
        <f>$B17*(1+Assumptions!$B$10)^5</f>
        <v/>
      </c>
      <c r="BS17" s="17">
        <f>$B17*(1+Assumptions!$B$10)^5</f>
        <v/>
      </c>
      <c r="BT17" s="17">
        <f>$B17*(1+Assumptions!$B$10)^5</f>
        <v/>
      </c>
      <c r="BU17" s="17">
        <f>$B17*(1+Assumptions!$B$10)^5</f>
        <v/>
      </c>
      <c r="BV17" s="17">
        <f>$B17*(1+Assumptions!$B$10)^5</f>
        <v/>
      </c>
      <c r="BW17" s="17">
        <f>$B17*(1+Assumptions!$B$10)^5</f>
        <v/>
      </c>
    </row>
    <row r="18">
      <c r="A18" t="inlineStr">
        <is>
          <t>Insurance (corporate)</t>
        </is>
      </c>
      <c r="B18" s="14" t="n">
        <v>8000</v>
      </c>
      <c r="D18" s="17">
        <f>$B18*(1+Assumptions!$B$10)^0</f>
        <v/>
      </c>
      <c r="E18" s="17">
        <f>$B18*(1+Assumptions!$B$10)^0</f>
        <v/>
      </c>
      <c r="F18" s="17">
        <f>$B18*(1+Assumptions!$B$10)^0</f>
        <v/>
      </c>
      <c r="G18" s="17">
        <f>$B18*(1+Assumptions!$B$10)^0</f>
        <v/>
      </c>
      <c r="H18" s="17">
        <f>$B18*(1+Assumptions!$B$10)^0</f>
        <v/>
      </c>
      <c r="I18" s="17">
        <f>$B18*(1+Assumptions!$B$10)^0</f>
        <v/>
      </c>
      <c r="J18" s="17">
        <f>$B18*(1+Assumptions!$B$10)^0</f>
        <v/>
      </c>
      <c r="K18" s="17">
        <f>$B18*(1+Assumptions!$B$10)^0</f>
        <v/>
      </c>
      <c r="L18" s="17">
        <f>$B18*(1+Assumptions!$B$10)^0</f>
        <v/>
      </c>
      <c r="M18" s="17">
        <f>$B18*(1+Assumptions!$B$10)^0</f>
        <v/>
      </c>
      <c r="N18" s="17">
        <f>$B18*(1+Assumptions!$B$10)^0</f>
        <v/>
      </c>
      <c r="O18" s="17">
        <f>$B18*(1+Assumptions!$B$10)^0</f>
        <v/>
      </c>
      <c r="P18" s="17">
        <f>$B18*(1+Assumptions!$B$10)^1</f>
        <v/>
      </c>
      <c r="Q18" s="17">
        <f>$B18*(1+Assumptions!$B$10)^1</f>
        <v/>
      </c>
      <c r="R18" s="17">
        <f>$B18*(1+Assumptions!$B$10)^1</f>
        <v/>
      </c>
      <c r="S18" s="17">
        <f>$B18*(1+Assumptions!$B$10)^1</f>
        <v/>
      </c>
      <c r="T18" s="17">
        <f>$B18*(1+Assumptions!$B$10)^1</f>
        <v/>
      </c>
      <c r="U18" s="17">
        <f>$B18*(1+Assumptions!$B$10)^1</f>
        <v/>
      </c>
      <c r="V18" s="17">
        <f>$B18*(1+Assumptions!$B$10)^1</f>
        <v/>
      </c>
      <c r="W18" s="17">
        <f>$B18*(1+Assumptions!$B$10)^1</f>
        <v/>
      </c>
      <c r="X18" s="17">
        <f>$B18*(1+Assumptions!$B$10)^1</f>
        <v/>
      </c>
      <c r="Y18" s="17">
        <f>$B18*(1+Assumptions!$B$10)^1</f>
        <v/>
      </c>
      <c r="Z18" s="17">
        <f>$B18*(1+Assumptions!$B$10)^1</f>
        <v/>
      </c>
      <c r="AA18" s="17">
        <f>$B18*(1+Assumptions!$B$10)^1</f>
        <v/>
      </c>
      <c r="AB18" s="17">
        <f>$B18*(1+Assumptions!$B$10)^2</f>
        <v/>
      </c>
      <c r="AC18" s="17">
        <f>$B18*(1+Assumptions!$B$10)^2</f>
        <v/>
      </c>
      <c r="AD18" s="17">
        <f>$B18*(1+Assumptions!$B$10)^2</f>
        <v/>
      </c>
      <c r="AE18" s="17">
        <f>$B18*(1+Assumptions!$B$10)^2</f>
        <v/>
      </c>
      <c r="AF18" s="17">
        <f>$B18*(1+Assumptions!$B$10)^2</f>
        <v/>
      </c>
      <c r="AG18" s="17">
        <f>$B18*(1+Assumptions!$B$10)^2</f>
        <v/>
      </c>
      <c r="AH18" s="17">
        <f>$B18*(1+Assumptions!$B$10)^2</f>
        <v/>
      </c>
      <c r="AI18" s="17">
        <f>$B18*(1+Assumptions!$B$10)^2</f>
        <v/>
      </c>
      <c r="AJ18" s="17">
        <f>$B18*(1+Assumptions!$B$10)^2</f>
        <v/>
      </c>
      <c r="AK18" s="17">
        <f>$B18*(1+Assumptions!$B$10)^2</f>
        <v/>
      </c>
      <c r="AL18" s="17">
        <f>$B18*(1+Assumptions!$B$10)^2</f>
        <v/>
      </c>
      <c r="AM18" s="17">
        <f>$B18*(1+Assumptions!$B$10)^2</f>
        <v/>
      </c>
      <c r="AN18" s="17">
        <f>$B18*(1+Assumptions!$B$10)^3</f>
        <v/>
      </c>
      <c r="AO18" s="17">
        <f>$B18*(1+Assumptions!$B$10)^3</f>
        <v/>
      </c>
      <c r="AP18" s="17">
        <f>$B18*(1+Assumptions!$B$10)^3</f>
        <v/>
      </c>
      <c r="AQ18" s="17">
        <f>$B18*(1+Assumptions!$B$10)^3</f>
        <v/>
      </c>
      <c r="AR18" s="17">
        <f>$B18*(1+Assumptions!$B$10)^3</f>
        <v/>
      </c>
      <c r="AS18" s="17">
        <f>$B18*(1+Assumptions!$B$10)^3</f>
        <v/>
      </c>
      <c r="AT18" s="17">
        <f>$B18*(1+Assumptions!$B$10)^3</f>
        <v/>
      </c>
      <c r="AU18" s="17">
        <f>$B18*(1+Assumptions!$B$10)^3</f>
        <v/>
      </c>
      <c r="AV18" s="17">
        <f>$B18*(1+Assumptions!$B$10)^3</f>
        <v/>
      </c>
      <c r="AW18" s="17">
        <f>$B18*(1+Assumptions!$B$10)^3</f>
        <v/>
      </c>
      <c r="AX18" s="17">
        <f>$B18*(1+Assumptions!$B$10)^3</f>
        <v/>
      </c>
      <c r="AY18" s="17">
        <f>$B18*(1+Assumptions!$B$10)^3</f>
        <v/>
      </c>
      <c r="AZ18" s="17">
        <f>$B18*(1+Assumptions!$B$10)^4</f>
        <v/>
      </c>
      <c r="BA18" s="17">
        <f>$B18*(1+Assumptions!$B$10)^4</f>
        <v/>
      </c>
      <c r="BB18" s="17">
        <f>$B18*(1+Assumptions!$B$10)^4</f>
        <v/>
      </c>
      <c r="BC18" s="17">
        <f>$B18*(1+Assumptions!$B$10)^4</f>
        <v/>
      </c>
      <c r="BD18" s="17">
        <f>$B18*(1+Assumptions!$B$10)^4</f>
        <v/>
      </c>
      <c r="BE18" s="17">
        <f>$B18*(1+Assumptions!$B$10)^4</f>
        <v/>
      </c>
      <c r="BF18" s="17">
        <f>$B18*(1+Assumptions!$B$10)^4</f>
        <v/>
      </c>
      <c r="BG18" s="17">
        <f>$B18*(1+Assumptions!$B$10)^4</f>
        <v/>
      </c>
      <c r="BH18" s="17">
        <f>$B18*(1+Assumptions!$B$10)^4</f>
        <v/>
      </c>
      <c r="BI18" s="17">
        <f>$B18*(1+Assumptions!$B$10)^4</f>
        <v/>
      </c>
      <c r="BJ18" s="17">
        <f>$B18*(1+Assumptions!$B$10)^4</f>
        <v/>
      </c>
      <c r="BK18" s="17">
        <f>$B18*(1+Assumptions!$B$10)^4</f>
        <v/>
      </c>
      <c r="BL18" s="17">
        <f>$B18*(1+Assumptions!$B$10)^5</f>
        <v/>
      </c>
      <c r="BM18" s="17">
        <f>$B18*(1+Assumptions!$B$10)^5</f>
        <v/>
      </c>
      <c r="BN18" s="17">
        <f>$B18*(1+Assumptions!$B$10)^5</f>
        <v/>
      </c>
      <c r="BO18" s="17">
        <f>$B18*(1+Assumptions!$B$10)^5</f>
        <v/>
      </c>
      <c r="BP18" s="17">
        <f>$B18*(1+Assumptions!$B$10)^5</f>
        <v/>
      </c>
      <c r="BQ18" s="17">
        <f>$B18*(1+Assumptions!$B$10)^5</f>
        <v/>
      </c>
      <c r="BR18" s="17">
        <f>$B18*(1+Assumptions!$B$10)^5</f>
        <v/>
      </c>
      <c r="BS18" s="17">
        <f>$B18*(1+Assumptions!$B$10)^5</f>
        <v/>
      </c>
      <c r="BT18" s="17">
        <f>$B18*(1+Assumptions!$B$10)^5</f>
        <v/>
      </c>
      <c r="BU18" s="17">
        <f>$B18*(1+Assumptions!$B$10)^5</f>
        <v/>
      </c>
      <c r="BV18" s="17">
        <f>$B18*(1+Assumptions!$B$10)^5</f>
        <v/>
      </c>
      <c r="BW18" s="17">
        <f>$B18*(1+Assumptions!$B$10)^5</f>
        <v/>
      </c>
    </row>
    <row r="19">
      <c r="A19" t="inlineStr">
        <is>
          <t>Misc / Other</t>
        </is>
      </c>
      <c r="B19" s="14" t="n">
        <v>5000</v>
      </c>
      <c r="D19" s="17">
        <f>$B19*(1+Assumptions!$B$10)^0</f>
        <v/>
      </c>
      <c r="E19" s="17">
        <f>$B19*(1+Assumptions!$B$10)^0</f>
        <v/>
      </c>
      <c r="F19" s="17">
        <f>$B19*(1+Assumptions!$B$10)^0</f>
        <v/>
      </c>
      <c r="G19" s="17">
        <f>$B19*(1+Assumptions!$B$10)^0</f>
        <v/>
      </c>
      <c r="H19" s="17">
        <f>$B19*(1+Assumptions!$B$10)^0</f>
        <v/>
      </c>
      <c r="I19" s="17">
        <f>$B19*(1+Assumptions!$B$10)^0</f>
        <v/>
      </c>
      <c r="J19" s="17">
        <f>$B19*(1+Assumptions!$B$10)^0</f>
        <v/>
      </c>
      <c r="K19" s="17">
        <f>$B19*(1+Assumptions!$B$10)^0</f>
        <v/>
      </c>
      <c r="L19" s="17">
        <f>$B19*(1+Assumptions!$B$10)^0</f>
        <v/>
      </c>
      <c r="M19" s="17">
        <f>$B19*(1+Assumptions!$B$10)^0</f>
        <v/>
      </c>
      <c r="N19" s="17">
        <f>$B19*(1+Assumptions!$B$10)^0</f>
        <v/>
      </c>
      <c r="O19" s="17">
        <f>$B19*(1+Assumptions!$B$10)^0</f>
        <v/>
      </c>
      <c r="P19" s="17">
        <f>$B19*(1+Assumptions!$B$10)^1</f>
        <v/>
      </c>
      <c r="Q19" s="17">
        <f>$B19*(1+Assumptions!$B$10)^1</f>
        <v/>
      </c>
      <c r="R19" s="17">
        <f>$B19*(1+Assumptions!$B$10)^1</f>
        <v/>
      </c>
      <c r="S19" s="17">
        <f>$B19*(1+Assumptions!$B$10)^1</f>
        <v/>
      </c>
      <c r="T19" s="17">
        <f>$B19*(1+Assumptions!$B$10)^1</f>
        <v/>
      </c>
      <c r="U19" s="17">
        <f>$B19*(1+Assumptions!$B$10)^1</f>
        <v/>
      </c>
      <c r="V19" s="17">
        <f>$B19*(1+Assumptions!$B$10)^1</f>
        <v/>
      </c>
      <c r="W19" s="17">
        <f>$B19*(1+Assumptions!$B$10)^1</f>
        <v/>
      </c>
      <c r="X19" s="17">
        <f>$B19*(1+Assumptions!$B$10)^1</f>
        <v/>
      </c>
      <c r="Y19" s="17">
        <f>$B19*(1+Assumptions!$B$10)^1</f>
        <v/>
      </c>
      <c r="Z19" s="17">
        <f>$B19*(1+Assumptions!$B$10)^1</f>
        <v/>
      </c>
      <c r="AA19" s="17">
        <f>$B19*(1+Assumptions!$B$10)^1</f>
        <v/>
      </c>
      <c r="AB19" s="17">
        <f>$B19*(1+Assumptions!$B$10)^2</f>
        <v/>
      </c>
      <c r="AC19" s="17">
        <f>$B19*(1+Assumptions!$B$10)^2</f>
        <v/>
      </c>
      <c r="AD19" s="17">
        <f>$B19*(1+Assumptions!$B$10)^2</f>
        <v/>
      </c>
      <c r="AE19" s="17">
        <f>$B19*(1+Assumptions!$B$10)^2</f>
        <v/>
      </c>
      <c r="AF19" s="17">
        <f>$B19*(1+Assumptions!$B$10)^2</f>
        <v/>
      </c>
      <c r="AG19" s="17">
        <f>$B19*(1+Assumptions!$B$10)^2</f>
        <v/>
      </c>
      <c r="AH19" s="17">
        <f>$B19*(1+Assumptions!$B$10)^2</f>
        <v/>
      </c>
      <c r="AI19" s="17">
        <f>$B19*(1+Assumptions!$B$10)^2</f>
        <v/>
      </c>
      <c r="AJ19" s="17">
        <f>$B19*(1+Assumptions!$B$10)^2</f>
        <v/>
      </c>
      <c r="AK19" s="17">
        <f>$B19*(1+Assumptions!$B$10)^2</f>
        <v/>
      </c>
      <c r="AL19" s="17">
        <f>$B19*(1+Assumptions!$B$10)^2</f>
        <v/>
      </c>
      <c r="AM19" s="17">
        <f>$B19*(1+Assumptions!$B$10)^2</f>
        <v/>
      </c>
      <c r="AN19" s="17">
        <f>$B19*(1+Assumptions!$B$10)^3</f>
        <v/>
      </c>
      <c r="AO19" s="17">
        <f>$B19*(1+Assumptions!$B$10)^3</f>
        <v/>
      </c>
      <c r="AP19" s="17">
        <f>$B19*(1+Assumptions!$B$10)^3</f>
        <v/>
      </c>
      <c r="AQ19" s="17">
        <f>$B19*(1+Assumptions!$B$10)^3</f>
        <v/>
      </c>
      <c r="AR19" s="17">
        <f>$B19*(1+Assumptions!$B$10)^3</f>
        <v/>
      </c>
      <c r="AS19" s="17">
        <f>$B19*(1+Assumptions!$B$10)^3</f>
        <v/>
      </c>
      <c r="AT19" s="17">
        <f>$B19*(1+Assumptions!$B$10)^3</f>
        <v/>
      </c>
      <c r="AU19" s="17">
        <f>$B19*(1+Assumptions!$B$10)^3</f>
        <v/>
      </c>
      <c r="AV19" s="17">
        <f>$B19*(1+Assumptions!$B$10)^3</f>
        <v/>
      </c>
      <c r="AW19" s="17">
        <f>$B19*(1+Assumptions!$B$10)^3</f>
        <v/>
      </c>
      <c r="AX19" s="17">
        <f>$B19*(1+Assumptions!$B$10)^3</f>
        <v/>
      </c>
      <c r="AY19" s="17">
        <f>$B19*(1+Assumptions!$B$10)^3</f>
        <v/>
      </c>
      <c r="AZ19" s="17">
        <f>$B19*(1+Assumptions!$B$10)^4</f>
        <v/>
      </c>
      <c r="BA19" s="17">
        <f>$B19*(1+Assumptions!$B$10)^4</f>
        <v/>
      </c>
      <c r="BB19" s="17">
        <f>$B19*(1+Assumptions!$B$10)^4</f>
        <v/>
      </c>
      <c r="BC19" s="17">
        <f>$B19*(1+Assumptions!$B$10)^4</f>
        <v/>
      </c>
      <c r="BD19" s="17">
        <f>$B19*(1+Assumptions!$B$10)^4</f>
        <v/>
      </c>
      <c r="BE19" s="17">
        <f>$B19*(1+Assumptions!$B$10)^4</f>
        <v/>
      </c>
      <c r="BF19" s="17">
        <f>$B19*(1+Assumptions!$B$10)^4</f>
        <v/>
      </c>
      <c r="BG19" s="17">
        <f>$B19*(1+Assumptions!$B$10)^4</f>
        <v/>
      </c>
      <c r="BH19" s="17">
        <f>$B19*(1+Assumptions!$B$10)^4</f>
        <v/>
      </c>
      <c r="BI19" s="17">
        <f>$B19*(1+Assumptions!$B$10)^4</f>
        <v/>
      </c>
      <c r="BJ19" s="17">
        <f>$B19*(1+Assumptions!$B$10)^4</f>
        <v/>
      </c>
      <c r="BK19" s="17">
        <f>$B19*(1+Assumptions!$B$10)^4</f>
        <v/>
      </c>
      <c r="BL19" s="17">
        <f>$B19*(1+Assumptions!$B$10)^5</f>
        <v/>
      </c>
      <c r="BM19" s="17">
        <f>$B19*(1+Assumptions!$B$10)^5</f>
        <v/>
      </c>
      <c r="BN19" s="17">
        <f>$B19*(1+Assumptions!$B$10)^5</f>
        <v/>
      </c>
      <c r="BO19" s="17">
        <f>$B19*(1+Assumptions!$B$10)^5</f>
        <v/>
      </c>
      <c r="BP19" s="17">
        <f>$B19*(1+Assumptions!$B$10)^5</f>
        <v/>
      </c>
      <c r="BQ19" s="17">
        <f>$B19*(1+Assumptions!$B$10)^5</f>
        <v/>
      </c>
      <c r="BR19" s="17">
        <f>$B19*(1+Assumptions!$B$10)^5</f>
        <v/>
      </c>
      <c r="BS19" s="17">
        <f>$B19*(1+Assumptions!$B$10)^5</f>
        <v/>
      </c>
      <c r="BT19" s="17">
        <f>$B19*(1+Assumptions!$B$10)^5</f>
        <v/>
      </c>
      <c r="BU19" s="17">
        <f>$B19*(1+Assumptions!$B$10)^5</f>
        <v/>
      </c>
      <c r="BV19" s="17">
        <f>$B19*(1+Assumptions!$B$10)^5</f>
        <v/>
      </c>
      <c r="BW19" s="17">
        <f>$B19*(1+Assumptions!$B$10)^5</f>
        <v/>
      </c>
    </row>
    <row r="21">
      <c r="A21" s="1" t="inlineStr">
        <is>
          <t>Total SG&amp;A</t>
        </is>
      </c>
      <c r="D21" s="101">
        <f>SUM(D6:D20)</f>
        <v/>
      </c>
      <c r="E21" s="101">
        <f>SUM(E6:E20)</f>
        <v/>
      </c>
      <c r="F21" s="101">
        <f>SUM(F6:F20)</f>
        <v/>
      </c>
      <c r="G21" s="101">
        <f>SUM(G6:G20)</f>
        <v/>
      </c>
      <c r="H21" s="101">
        <f>SUM(H6:H20)</f>
        <v/>
      </c>
      <c r="I21" s="101">
        <f>SUM(I6:I20)</f>
        <v/>
      </c>
      <c r="J21" s="101">
        <f>SUM(J6:J20)</f>
        <v/>
      </c>
      <c r="K21" s="101">
        <f>SUM(K6:K20)</f>
        <v/>
      </c>
      <c r="L21" s="101">
        <f>SUM(L6:L20)</f>
        <v/>
      </c>
      <c r="M21" s="101">
        <f>SUM(M6:M20)</f>
        <v/>
      </c>
      <c r="N21" s="101">
        <f>SUM(N6:N20)</f>
        <v/>
      </c>
      <c r="O21" s="101">
        <f>SUM(O6:O20)</f>
        <v/>
      </c>
      <c r="P21" s="101">
        <f>SUM(P6:P20)</f>
        <v/>
      </c>
      <c r="Q21" s="101">
        <f>SUM(Q6:Q20)</f>
        <v/>
      </c>
      <c r="R21" s="101">
        <f>SUM(R6:R20)</f>
        <v/>
      </c>
      <c r="S21" s="101">
        <f>SUM(S6:S20)</f>
        <v/>
      </c>
      <c r="T21" s="101">
        <f>SUM(T6:T20)</f>
        <v/>
      </c>
      <c r="U21" s="101">
        <f>SUM(U6:U20)</f>
        <v/>
      </c>
      <c r="V21" s="101">
        <f>SUM(V6:V20)</f>
        <v/>
      </c>
      <c r="W21" s="101">
        <f>SUM(W6:W20)</f>
        <v/>
      </c>
      <c r="X21" s="101">
        <f>SUM(X6:X20)</f>
        <v/>
      </c>
      <c r="Y21" s="101">
        <f>SUM(Y6:Y20)</f>
        <v/>
      </c>
      <c r="Z21" s="101">
        <f>SUM(Z6:Z20)</f>
        <v/>
      </c>
      <c r="AA21" s="101">
        <f>SUM(AA6:AA20)</f>
        <v/>
      </c>
      <c r="AB21" s="101">
        <f>SUM(AB6:AB20)</f>
        <v/>
      </c>
      <c r="AC21" s="101">
        <f>SUM(AC6:AC20)</f>
        <v/>
      </c>
      <c r="AD21" s="101">
        <f>SUM(AD6:AD20)</f>
        <v/>
      </c>
      <c r="AE21" s="101">
        <f>SUM(AE6:AE20)</f>
        <v/>
      </c>
      <c r="AF21" s="101">
        <f>SUM(AF6:AF20)</f>
        <v/>
      </c>
      <c r="AG21" s="101">
        <f>SUM(AG6:AG20)</f>
        <v/>
      </c>
      <c r="AH21" s="101">
        <f>SUM(AH6:AH20)</f>
        <v/>
      </c>
      <c r="AI21" s="101">
        <f>SUM(AI6:AI20)</f>
        <v/>
      </c>
      <c r="AJ21" s="101">
        <f>SUM(AJ6:AJ20)</f>
        <v/>
      </c>
      <c r="AK21" s="101">
        <f>SUM(AK6:AK20)</f>
        <v/>
      </c>
      <c r="AL21" s="101">
        <f>SUM(AL6:AL20)</f>
        <v/>
      </c>
      <c r="AM21" s="101">
        <f>SUM(AM6:AM20)</f>
        <v/>
      </c>
      <c r="AN21" s="101">
        <f>SUM(AN6:AN20)</f>
        <v/>
      </c>
      <c r="AO21" s="101">
        <f>SUM(AO6:AO20)</f>
        <v/>
      </c>
      <c r="AP21" s="101">
        <f>SUM(AP6:AP20)</f>
        <v/>
      </c>
      <c r="AQ21" s="101">
        <f>SUM(AQ6:AQ20)</f>
        <v/>
      </c>
      <c r="AR21" s="101">
        <f>SUM(AR6:AR20)</f>
        <v/>
      </c>
      <c r="AS21" s="101">
        <f>SUM(AS6:AS20)</f>
        <v/>
      </c>
      <c r="AT21" s="101">
        <f>SUM(AT6:AT20)</f>
        <v/>
      </c>
      <c r="AU21" s="101">
        <f>SUM(AU6:AU20)</f>
        <v/>
      </c>
      <c r="AV21" s="101">
        <f>SUM(AV6:AV20)</f>
        <v/>
      </c>
      <c r="AW21" s="101">
        <f>SUM(AW6:AW20)</f>
        <v/>
      </c>
      <c r="AX21" s="101">
        <f>SUM(AX6:AX20)</f>
        <v/>
      </c>
      <c r="AY21" s="101">
        <f>SUM(AY6:AY20)</f>
        <v/>
      </c>
      <c r="AZ21" s="101">
        <f>SUM(AZ6:AZ20)</f>
        <v/>
      </c>
      <c r="BA21" s="101">
        <f>SUM(BA6:BA20)</f>
        <v/>
      </c>
      <c r="BB21" s="101">
        <f>SUM(BB6:BB20)</f>
        <v/>
      </c>
      <c r="BC21" s="101">
        <f>SUM(BC6:BC20)</f>
        <v/>
      </c>
      <c r="BD21" s="101">
        <f>SUM(BD6:BD20)</f>
        <v/>
      </c>
      <c r="BE21" s="101">
        <f>SUM(BE6:BE20)</f>
        <v/>
      </c>
      <c r="BF21" s="101">
        <f>SUM(BF6:BF20)</f>
        <v/>
      </c>
      <c r="BG21" s="101">
        <f>SUM(BG6:BG20)</f>
        <v/>
      </c>
      <c r="BH21" s="101">
        <f>SUM(BH6:BH20)</f>
        <v/>
      </c>
      <c r="BI21" s="101">
        <f>SUM(BI6:BI20)</f>
        <v/>
      </c>
      <c r="BJ21" s="101">
        <f>SUM(BJ6:BJ20)</f>
        <v/>
      </c>
      <c r="BK21" s="101">
        <f>SUM(BK6:BK20)</f>
        <v/>
      </c>
      <c r="BL21" s="101">
        <f>SUM(BL6:BL20)</f>
        <v/>
      </c>
      <c r="BM21" s="101">
        <f>SUM(BM6:BM20)</f>
        <v/>
      </c>
      <c r="BN21" s="101">
        <f>SUM(BN6:BN20)</f>
        <v/>
      </c>
      <c r="BO21" s="101">
        <f>SUM(BO6:BO20)</f>
        <v/>
      </c>
      <c r="BP21" s="101">
        <f>SUM(BP6:BP20)</f>
        <v/>
      </c>
      <c r="BQ21" s="101">
        <f>SUM(BQ6:BQ20)</f>
        <v/>
      </c>
      <c r="BR21" s="101">
        <f>SUM(BR6:BR20)</f>
        <v/>
      </c>
      <c r="BS21" s="101">
        <f>SUM(BS6:BS20)</f>
        <v/>
      </c>
      <c r="BT21" s="101">
        <f>SUM(BT6:BT20)</f>
        <v/>
      </c>
      <c r="BU21" s="101">
        <f>SUM(BU6:BU20)</f>
        <v/>
      </c>
      <c r="BV21" s="101">
        <f>SUM(BV6:BV20)</f>
        <v/>
      </c>
      <c r="BW21" s="101">
        <f>SUM(BW6:BW20)</f>
        <v/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/>
  </sheetPr>
  <dimension ref="A1:BW1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10" defaultColWidth="8.83203125" defaultRowHeight="15"/>
  <cols>
    <col width="32" customWidth="1" style="50" min="1" max="1"/>
    <col width="14" customWidth="1" style="50" min="3" max="3"/>
    <col width="11" customWidth="1" style="50" min="4" max="75"/>
  </cols>
  <sheetData>
    <row r="1" ht="24" customHeight="1" s="50">
      <c r="A1" s="95" t="inlineStr">
        <is>
          <t>Debt — CNB Line of Credit Schedule</t>
        </is>
      </c>
    </row>
    <row r="2">
      <c r="A2" s="5" t="inlineStr">
        <is>
          <t>CNB $15M LOC, 1:1 CD-collateralized. Interest-only. Starts month 7 (Jul-2025).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</row>
    <row r="5">
      <c r="A5" s="1" t="inlineStr">
        <is>
          <t>Beginning balance</t>
        </is>
      </c>
      <c r="C5" s="14" t="n">
        <v>15000000</v>
      </c>
      <c r="D5" s="103">
        <f>C9</f>
        <v/>
      </c>
      <c r="E5" s="103">
        <f>D9</f>
        <v/>
      </c>
      <c r="F5" s="103">
        <f>E9</f>
        <v/>
      </c>
      <c r="G5" s="103">
        <f>F9</f>
        <v/>
      </c>
      <c r="H5" s="103">
        <f>G9</f>
        <v/>
      </c>
      <c r="I5" s="103">
        <f>H9</f>
        <v/>
      </c>
      <c r="J5" s="103">
        <f>I9</f>
        <v/>
      </c>
      <c r="K5" s="103">
        <f>J9</f>
        <v/>
      </c>
      <c r="L5" s="103">
        <f>K9</f>
        <v/>
      </c>
      <c r="M5" s="103">
        <f>L9</f>
        <v/>
      </c>
      <c r="N5" s="103">
        <f>M9</f>
        <v/>
      </c>
      <c r="O5" s="103">
        <f>N9</f>
        <v/>
      </c>
      <c r="P5" s="103">
        <f>O9</f>
        <v/>
      </c>
      <c r="Q5" s="103">
        <f>P9</f>
        <v/>
      </c>
      <c r="R5" s="103">
        <f>Q9</f>
        <v/>
      </c>
      <c r="S5" s="103">
        <f>R9</f>
        <v/>
      </c>
      <c r="T5" s="103">
        <f>S9</f>
        <v/>
      </c>
      <c r="U5" s="103">
        <f>T9</f>
        <v/>
      </c>
      <c r="V5" s="103">
        <f>U9</f>
        <v/>
      </c>
      <c r="W5" s="103">
        <f>V9</f>
        <v/>
      </c>
      <c r="X5" s="103">
        <f>W9</f>
        <v/>
      </c>
      <c r="Y5" s="103">
        <f>X9</f>
        <v/>
      </c>
      <c r="Z5" s="103">
        <f>Y9</f>
        <v/>
      </c>
      <c r="AA5" s="103">
        <f>Z9</f>
        <v/>
      </c>
      <c r="AB5" s="103">
        <f>AA9</f>
        <v/>
      </c>
      <c r="AC5" s="103">
        <f>AB9</f>
        <v/>
      </c>
      <c r="AD5" s="103">
        <f>AC9</f>
        <v/>
      </c>
      <c r="AE5" s="103">
        <f>AD9</f>
        <v/>
      </c>
      <c r="AF5" s="103">
        <f>AE9</f>
        <v/>
      </c>
      <c r="AG5" s="103">
        <f>AF9</f>
        <v/>
      </c>
      <c r="AH5" s="103">
        <f>AG9</f>
        <v/>
      </c>
      <c r="AI5" s="103">
        <f>AH9</f>
        <v/>
      </c>
      <c r="AJ5" s="103">
        <f>AI9</f>
        <v/>
      </c>
      <c r="AK5" s="103">
        <f>AJ9</f>
        <v/>
      </c>
      <c r="AL5" s="103">
        <f>AK9</f>
        <v/>
      </c>
      <c r="AM5" s="103">
        <f>AL9</f>
        <v/>
      </c>
      <c r="AN5" s="103">
        <f>AM9</f>
        <v/>
      </c>
      <c r="AO5" s="103">
        <f>AN9</f>
        <v/>
      </c>
      <c r="AP5" s="103">
        <f>AO9</f>
        <v/>
      </c>
      <c r="AQ5" s="103">
        <f>AP9</f>
        <v/>
      </c>
      <c r="AR5" s="103">
        <f>AQ9</f>
        <v/>
      </c>
      <c r="AS5" s="103">
        <f>AR9</f>
        <v/>
      </c>
      <c r="AT5" s="103">
        <f>AS9</f>
        <v/>
      </c>
      <c r="AU5" s="103">
        <f>AT9</f>
        <v/>
      </c>
      <c r="AV5" s="103">
        <f>AU9</f>
        <v/>
      </c>
      <c r="AW5" s="103">
        <f>AV9</f>
        <v/>
      </c>
      <c r="AX5" s="103">
        <f>AW9</f>
        <v/>
      </c>
      <c r="AY5" s="103">
        <f>AX9</f>
        <v/>
      </c>
      <c r="AZ5" s="103">
        <f>AY9</f>
        <v/>
      </c>
      <c r="BA5" s="103">
        <f>AZ9</f>
        <v/>
      </c>
      <c r="BB5" s="103">
        <f>BA9</f>
        <v/>
      </c>
      <c r="BC5" s="103">
        <f>BB9</f>
        <v/>
      </c>
      <c r="BD5" s="103">
        <f>BC9</f>
        <v/>
      </c>
      <c r="BE5" s="103">
        <f>BD9</f>
        <v/>
      </c>
      <c r="BF5" s="103">
        <f>BE9</f>
        <v/>
      </c>
      <c r="BG5" s="103">
        <f>BF9</f>
        <v/>
      </c>
      <c r="BH5" s="103">
        <f>BG9</f>
        <v/>
      </c>
      <c r="BI5" s="103">
        <f>BH9</f>
        <v/>
      </c>
      <c r="BJ5" s="103">
        <f>BI9</f>
        <v/>
      </c>
      <c r="BK5" s="103">
        <f>BJ9</f>
        <v/>
      </c>
      <c r="BL5" s="103">
        <f>BK9</f>
        <v/>
      </c>
      <c r="BM5" s="103">
        <f>BL9</f>
        <v/>
      </c>
      <c r="BN5" s="103">
        <f>BM9</f>
        <v/>
      </c>
      <c r="BO5" s="103">
        <f>BN9</f>
        <v/>
      </c>
      <c r="BP5" s="103">
        <f>BO9</f>
        <v/>
      </c>
      <c r="BQ5" s="103">
        <f>BP9</f>
        <v/>
      </c>
      <c r="BR5" s="103">
        <f>BQ9</f>
        <v/>
      </c>
      <c r="BS5" s="103">
        <f>BR9</f>
        <v/>
      </c>
      <c r="BT5" s="103">
        <f>BS9</f>
        <v/>
      </c>
      <c r="BU5" s="103">
        <f>BT9</f>
        <v/>
      </c>
      <c r="BV5" s="103">
        <f>BU9</f>
        <v/>
      </c>
      <c r="BW5" s="103">
        <f>BV9</f>
        <v/>
      </c>
    </row>
    <row r="6">
      <c r="A6" t="inlineStr">
        <is>
          <t>Net drawdown / (repayment)</t>
        </is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0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</v>
      </c>
      <c r="AE6" s="14" t="n">
        <v>0</v>
      </c>
      <c r="AF6" s="14" t="n">
        <v>0</v>
      </c>
      <c r="AG6" s="14" t="n">
        <v>0</v>
      </c>
      <c r="AH6" s="14" t="n">
        <v>0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4" t="n">
        <v>0</v>
      </c>
      <c r="AP6" s="14" t="n">
        <v>0</v>
      </c>
      <c r="AQ6" s="14" t="n">
        <v>0</v>
      </c>
      <c r="AR6" s="14" t="n">
        <v>0</v>
      </c>
      <c r="AS6" s="14" t="n">
        <v>0</v>
      </c>
      <c r="AT6" s="14" t="n">
        <v>0</v>
      </c>
      <c r="AU6" s="14" t="n">
        <v>0</v>
      </c>
      <c r="AV6" s="14" t="n">
        <v>0</v>
      </c>
      <c r="AW6" s="14" t="n">
        <v>0</v>
      </c>
      <c r="AX6" s="14" t="n">
        <v>0</v>
      </c>
      <c r="AY6" s="14" t="n">
        <v>0</v>
      </c>
      <c r="AZ6" s="14" t="n">
        <v>0</v>
      </c>
      <c r="BA6" s="14" t="n">
        <v>0</v>
      </c>
      <c r="BB6" s="14" t="n">
        <v>0</v>
      </c>
      <c r="BC6" s="14" t="n">
        <v>0</v>
      </c>
      <c r="BD6" s="14" t="n">
        <v>0</v>
      </c>
      <c r="BE6" s="14" t="n">
        <v>0</v>
      </c>
      <c r="BF6" s="14" t="n">
        <v>0</v>
      </c>
      <c r="BG6" s="14" t="n">
        <v>0</v>
      </c>
      <c r="BH6" s="14" t="n">
        <v>0</v>
      </c>
      <c r="BI6" s="14" t="n">
        <v>0</v>
      </c>
      <c r="BJ6" s="14" t="n">
        <v>0</v>
      </c>
      <c r="BK6" s="14" t="n">
        <v>0</v>
      </c>
      <c r="BL6" s="14" t="n">
        <v>0</v>
      </c>
      <c r="BM6" s="14" t="n">
        <v>0</v>
      </c>
      <c r="BN6" s="14" t="n">
        <v>0</v>
      </c>
      <c r="BO6" s="14" t="n">
        <v>0</v>
      </c>
      <c r="BP6" s="14" t="n">
        <v>0</v>
      </c>
      <c r="BQ6" s="14" t="n">
        <v>0</v>
      </c>
      <c r="BR6" s="14" t="n">
        <v>0</v>
      </c>
      <c r="BS6" s="14" t="n">
        <v>0</v>
      </c>
      <c r="BT6" s="14" t="n">
        <v>0</v>
      </c>
      <c r="BU6" s="14" t="n">
        <v>0</v>
      </c>
      <c r="BV6" s="14" t="n">
        <v>0</v>
      </c>
      <c r="BW6" s="14" t="n">
        <v>0</v>
      </c>
    </row>
    <row r="7">
      <c r="A7" s="1" t="inlineStr">
        <is>
          <t>Interest expense (monthly)</t>
        </is>
      </c>
      <c r="D7" s="17">
        <f>IF(1&lt;Assumptions!$B$53,0,D5*Assumptions!$B$51/12)</f>
        <v/>
      </c>
      <c r="E7" s="17">
        <f>IF(2&lt;Assumptions!$B$53,0,E5*Assumptions!$B$51/12)</f>
        <v/>
      </c>
      <c r="F7" s="17">
        <f>IF(3&lt;Assumptions!$B$53,0,F5*Assumptions!$B$51/12)</f>
        <v/>
      </c>
      <c r="G7" s="17">
        <f>IF(4&lt;Assumptions!$B$53,0,G5*Assumptions!$B$51/12)</f>
        <v/>
      </c>
      <c r="H7" s="17">
        <f>IF(5&lt;Assumptions!$B$53,0,H5*Assumptions!$B$51/12)</f>
        <v/>
      </c>
      <c r="I7" s="17">
        <f>IF(6&lt;Assumptions!$B$53,0,I5*Assumptions!$B$51/12)</f>
        <v/>
      </c>
      <c r="J7" s="17">
        <f>IF(7&lt;Assumptions!$B$53,0,J5*Assumptions!$B$51/12)</f>
        <v/>
      </c>
      <c r="K7" s="17">
        <f>IF(8&lt;Assumptions!$B$53,0,K5*Assumptions!$B$51/12)</f>
        <v/>
      </c>
      <c r="L7" s="17">
        <f>IF(9&lt;Assumptions!$B$53,0,L5*Assumptions!$B$51/12)</f>
        <v/>
      </c>
      <c r="M7" s="17">
        <f>IF(10&lt;Assumptions!$B$53,0,M5*Assumptions!$B$51/12)</f>
        <v/>
      </c>
      <c r="N7" s="17">
        <f>IF(11&lt;Assumptions!$B$53,0,N5*Assumptions!$B$51/12)</f>
        <v/>
      </c>
      <c r="O7" s="17">
        <f>IF(12&lt;Assumptions!$B$53,0,O5*Assumptions!$B$51/12)</f>
        <v/>
      </c>
      <c r="P7" s="17">
        <f>IF(13&lt;Assumptions!$B$53,0,P5*Assumptions!$B$51/12)</f>
        <v/>
      </c>
      <c r="Q7" s="17">
        <f>IF(14&lt;Assumptions!$B$53,0,Q5*Assumptions!$B$51/12)</f>
        <v/>
      </c>
      <c r="R7" s="17">
        <f>IF(15&lt;Assumptions!$B$53,0,R5*Assumptions!$B$51/12)</f>
        <v/>
      </c>
      <c r="S7" s="17">
        <f>IF(16&lt;Assumptions!$B$53,0,S5*Assumptions!$B$51/12)</f>
        <v/>
      </c>
      <c r="T7" s="17">
        <f>IF(17&lt;Assumptions!$B$53,0,T5*Assumptions!$B$51/12)</f>
        <v/>
      </c>
      <c r="U7" s="17">
        <f>IF(18&lt;Assumptions!$B$53,0,U5*Assumptions!$B$51/12)</f>
        <v/>
      </c>
      <c r="V7" s="17">
        <f>IF(19&lt;Assumptions!$B$53,0,V5*Assumptions!$B$51/12)</f>
        <v/>
      </c>
      <c r="W7" s="17">
        <f>IF(20&lt;Assumptions!$B$53,0,W5*Assumptions!$B$51/12)</f>
        <v/>
      </c>
      <c r="X7" s="17">
        <f>IF(21&lt;Assumptions!$B$53,0,X5*Assumptions!$B$51/12)</f>
        <v/>
      </c>
      <c r="Y7" s="17">
        <f>IF(22&lt;Assumptions!$B$53,0,Y5*Assumptions!$B$51/12)</f>
        <v/>
      </c>
      <c r="Z7" s="17">
        <f>IF(23&lt;Assumptions!$B$53,0,Z5*Assumptions!$B$51/12)</f>
        <v/>
      </c>
      <c r="AA7" s="17">
        <f>IF(24&lt;Assumptions!$B$53,0,AA5*Assumptions!$B$51/12)</f>
        <v/>
      </c>
      <c r="AB7" s="17">
        <f>IF(25&lt;Assumptions!$B$53,0,AB5*Assumptions!$B$51/12)</f>
        <v/>
      </c>
      <c r="AC7" s="17">
        <f>IF(26&lt;Assumptions!$B$53,0,AC5*Assumptions!$B$51/12)</f>
        <v/>
      </c>
      <c r="AD7" s="17">
        <f>IF(27&lt;Assumptions!$B$53,0,AD5*Assumptions!$B$51/12)</f>
        <v/>
      </c>
      <c r="AE7" s="17">
        <f>IF(28&lt;Assumptions!$B$53,0,AE5*Assumptions!$B$51/12)</f>
        <v/>
      </c>
      <c r="AF7" s="17">
        <f>IF(29&lt;Assumptions!$B$53,0,AF5*Assumptions!$B$51/12)</f>
        <v/>
      </c>
      <c r="AG7" s="17">
        <f>IF(30&lt;Assumptions!$B$53,0,AG5*Assumptions!$B$51/12)</f>
        <v/>
      </c>
      <c r="AH7" s="17">
        <f>IF(31&lt;Assumptions!$B$53,0,AH5*Assumptions!$B$51/12)</f>
        <v/>
      </c>
      <c r="AI7" s="17">
        <f>IF(32&lt;Assumptions!$B$53,0,AI5*Assumptions!$B$51/12)</f>
        <v/>
      </c>
      <c r="AJ7" s="17">
        <f>IF(33&lt;Assumptions!$B$53,0,AJ5*Assumptions!$B$51/12)</f>
        <v/>
      </c>
      <c r="AK7" s="17">
        <f>IF(34&lt;Assumptions!$B$53,0,AK5*Assumptions!$B$51/12)</f>
        <v/>
      </c>
      <c r="AL7" s="17">
        <f>IF(35&lt;Assumptions!$B$53,0,AL5*Assumptions!$B$51/12)</f>
        <v/>
      </c>
      <c r="AM7" s="17">
        <f>IF(36&lt;Assumptions!$B$53,0,AM5*Assumptions!$B$51/12)</f>
        <v/>
      </c>
      <c r="AN7" s="17">
        <f>IF(37&lt;Assumptions!$B$53,0,AN5*Assumptions!$B$51/12)</f>
        <v/>
      </c>
      <c r="AO7" s="17">
        <f>IF(38&lt;Assumptions!$B$53,0,AO5*Assumptions!$B$51/12)</f>
        <v/>
      </c>
      <c r="AP7" s="17">
        <f>IF(39&lt;Assumptions!$B$53,0,AP5*Assumptions!$B$51/12)</f>
        <v/>
      </c>
      <c r="AQ7" s="17">
        <f>IF(40&lt;Assumptions!$B$53,0,AQ5*Assumptions!$B$51/12)</f>
        <v/>
      </c>
      <c r="AR7" s="17">
        <f>IF(41&lt;Assumptions!$B$53,0,AR5*Assumptions!$B$51/12)</f>
        <v/>
      </c>
      <c r="AS7" s="17">
        <f>IF(42&lt;Assumptions!$B$53,0,AS5*Assumptions!$B$51/12)</f>
        <v/>
      </c>
      <c r="AT7" s="17">
        <f>IF(43&lt;Assumptions!$B$53,0,AT5*Assumptions!$B$51/12)</f>
        <v/>
      </c>
      <c r="AU7" s="17">
        <f>IF(44&lt;Assumptions!$B$53,0,AU5*Assumptions!$B$51/12)</f>
        <v/>
      </c>
      <c r="AV7" s="17">
        <f>IF(45&lt;Assumptions!$B$53,0,AV5*Assumptions!$B$51/12)</f>
        <v/>
      </c>
      <c r="AW7" s="17">
        <f>IF(46&lt;Assumptions!$B$53,0,AW5*Assumptions!$B$51/12)</f>
        <v/>
      </c>
      <c r="AX7" s="17">
        <f>IF(47&lt;Assumptions!$B$53,0,AX5*Assumptions!$B$51/12)</f>
        <v/>
      </c>
      <c r="AY7" s="17">
        <f>IF(48&lt;Assumptions!$B$53,0,AY5*Assumptions!$B$51/12)</f>
        <v/>
      </c>
      <c r="AZ7" s="17">
        <f>IF(49&lt;Assumptions!$B$53,0,AZ5*Assumptions!$B$51/12)</f>
        <v/>
      </c>
      <c r="BA7" s="17">
        <f>IF(50&lt;Assumptions!$B$53,0,BA5*Assumptions!$B$51/12)</f>
        <v/>
      </c>
      <c r="BB7" s="17">
        <f>IF(51&lt;Assumptions!$B$53,0,BB5*Assumptions!$B$51/12)</f>
        <v/>
      </c>
      <c r="BC7" s="17">
        <f>IF(52&lt;Assumptions!$B$53,0,BC5*Assumptions!$B$51/12)</f>
        <v/>
      </c>
      <c r="BD7" s="17">
        <f>IF(53&lt;Assumptions!$B$53,0,BD5*Assumptions!$B$51/12)</f>
        <v/>
      </c>
      <c r="BE7" s="17">
        <f>IF(54&lt;Assumptions!$B$53,0,BE5*Assumptions!$B$51/12)</f>
        <v/>
      </c>
      <c r="BF7" s="17">
        <f>IF(55&lt;Assumptions!$B$53,0,BF5*Assumptions!$B$51/12)</f>
        <v/>
      </c>
      <c r="BG7" s="17">
        <f>IF(56&lt;Assumptions!$B$53,0,BG5*Assumptions!$B$51/12)</f>
        <v/>
      </c>
      <c r="BH7" s="17">
        <f>IF(57&lt;Assumptions!$B$53,0,BH5*Assumptions!$B$51/12)</f>
        <v/>
      </c>
      <c r="BI7" s="17">
        <f>IF(58&lt;Assumptions!$B$53,0,BI5*Assumptions!$B$51/12)</f>
        <v/>
      </c>
      <c r="BJ7" s="17">
        <f>IF(59&lt;Assumptions!$B$53,0,BJ5*Assumptions!$B$51/12)</f>
        <v/>
      </c>
      <c r="BK7" s="17">
        <f>IF(60&lt;Assumptions!$B$53,0,BK5*Assumptions!$B$51/12)</f>
        <v/>
      </c>
      <c r="BL7" s="17">
        <f>IF(61&lt;Assumptions!$B$53,0,BL5*Assumptions!$B$51/12)</f>
        <v/>
      </c>
      <c r="BM7" s="17">
        <f>IF(62&lt;Assumptions!$B$53,0,BM5*Assumptions!$B$51/12)</f>
        <v/>
      </c>
      <c r="BN7" s="17">
        <f>IF(63&lt;Assumptions!$B$53,0,BN5*Assumptions!$B$51/12)</f>
        <v/>
      </c>
      <c r="BO7" s="17">
        <f>IF(64&lt;Assumptions!$B$53,0,BO5*Assumptions!$B$51/12)</f>
        <v/>
      </c>
      <c r="BP7" s="17">
        <f>IF(65&lt;Assumptions!$B$53,0,BP5*Assumptions!$B$51/12)</f>
        <v/>
      </c>
      <c r="BQ7" s="17">
        <f>IF(66&lt;Assumptions!$B$53,0,BQ5*Assumptions!$B$51/12)</f>
        <v/>
      </c>
      <c r="BR7" s="17">
        <f>IF(67&lt;Assumptions!$B$53,0,BR5*Assumptions!$B$51/12)</f>
        <v/>
      </c>
      <c r="BS7" s="17">
        <f>IF(68&lt;Assumptions!$B$53,0,BS5*Assumptions!$B$51/12)</f>
        <v/>
      </c>
      <c r="BT7" s="17">
        <f>IF(69&lt;Assumptions!$B$53,0,BT5*Assumptions!$B$51/12)</f>
        <v/>
      </c>
      <c r="BU7" s="17">
        <f>IF(70&lt;Assumptions!$B$53,0,BU5*Assumptions!$B$51/12)</f>
        <v/>
      </c>
      <c r="BV7" s="17">
        <f>IF(71&lt;Assumptions!$B$53,0,BV5*Assumptions!$B$51/12)</f>
        <v/>
      </c>
      <c r="BW7" s="17">
        <f>IF(72&lt;Assumptions!$B$53,0,BW5*Assumptions!$B$51/12)</f>
        <v/>
      </c>
    </row>
    <row r="8">
      <c r="A8" t="inlineStr">
        <is>
          <t>Underwriting fee (one-time)</t>
        </is>
      </c>
      <c r="D8" s="17">
        <f>IF(1=Assumptions!$B$53,Assumptions!$B$49*Assumptions!$B$50,0)</f>
        <v/>
      </c>
      <c r="E8" s="17">
        <f>IF(2=Assumptions!$B$53,Assumptions!$B$49*Assumptions!$B$50,0)</f>
        <v/>
      </c>
      <c r="F8" s="17">
        <f>IF(3=Assumptions!$B$53,Assumptions!$B$49*Assumptions!$B$50,0)</f>
        <v/>
      </c>
      <c r="G8" s="17">
        <f>IF(4=Assumptions!$B$53,Assumptions!$B$49*Assumptions!$B$50,0)</f>
        <v/>
      </c>
      <c r="H8" s="17">
        <f>IF(5=Assumptions!$B$53,Assumptions!$B$49*Assumptions!$B$50,0)</f>
        <v/>
      </c>
      <c r="I8" s="17">
        <f>IF(6=Assumptions!$B$53,Assumptions!$B$49*Assumptions!$B$50,0)</f>
        <v/>
      </c>
      <c r="J8" s="17">
        <f>IF(7=Assumptions!$B$53,Assumptions!$B$49*Assumptions!$B$50,0)</f>
        <v/>
      </c>
      <c r="K8" s="17">
        <f>IF(8=Assumptions!$B$53,Assumptions!$B$49*Assumptions!$B$50,0)</f>
        <v/>
      </c>
      <c r="L8" s="17">
        <f>IF(9=Assumptions!$B$53,Assumptions!$B$49*Assumptions!$B$50,0)</f>
        <v/>
      </c>
      <c r="M8" s="17">
        <f>IF(10=Assumptions!$B$53,Assumptions!$B$49*Assumptions!$B$50,0)</f>
        <v/>
      </c>
      <c r="N8" s="17">
        <f>IF(11=Assumptions!$B$53,Assumptions!$B$49*Assumptions!$B$50,0)</f>
        <v/>
      </c>
      <c r="O8" s="17">
        <f>IF(12=Assumptions!$B$53,Assumptions!$B$49*Assumptions!$B$50,0)</f>
        <v/>
      </c>
      <c r="P8" s="17">
        <f>IF(13=Assumptions!$B$53,Assumptions!$B$49*Assumptions!$B$50,0)</f>
        <v/>
      </c>
      <c r="Q8" s="17">
        <f>IF(14=Assumptions!$B$53,Assumptions!$B$49*Assumptions!$B$50,0)</f>
        <v/>
      </c>
      <c r="R8" s="17">
        <f>IF(15=Assumptions!$B$53,Assumptions!$B$49*Assumptions!$B$50,0)</f>
        <v/>
      </c>
      <c r="S8" s="17">
        <f>IF(16=Assumptions!$B$53,Assumptions!$B$49*Assumptions!$B$50,0)</f>
        <v/>
      </c>
      <c r="T8" s="17">
        <f>IF(17=Assumptions!$B$53,Assumptions!$B$49*Assumptions!$B$50,0)</f>
        <v/>
      </c>
      <c r="U8" s="17">
        <f>IF(18=Assumptions!$B$53,Assumptions!$B$49*Assumptions!$B$50,0)</f>
        <v/>
      </c>
      <c r="V8" s="17">
        <f>IF(19=Assumptions!$B$53,Assumptions!$B$49*Assumptions!$B$50,0)</f>
        <v/>
      </c>
      <c r="W8" s="17">
        <f>IF(20=Assumptions!$B$53,Assumptions!$B$49*Assumptions!$B$50,0)</f>
        <v/>
      </c>
      <c r="X8" s="17">
        <f>IF(21=Assumptions!$B$53,Assumptions!$B$49*Assumptions!$B$50,0)</f>
        <v/>
      </c>
      <c r="Y8" s="17">
        <f>IF(22=Assumptions!$B$53,Assumptions!$B$49*Assumptions!$B$50,0)</f>
        <v/>
      </c>
      <c r="Z8" s="17">
        <f>IF(23=Assumptions!$B$53,Assumptions!$B$49*Assumptions!$B$50,0)</f>
        <v/>
      </c>
      <c r="AA8" s="17">
        <f>IF(24=Assumptions!$B$53,Assumptions!$B$49*Assumptions!$B$50,0)</f>
        <v/>
      </c>
      <c r="AB8" s="17">
        <f>IF(25=Assumptions!$B$53,Assumptions!$B$49*Assumptions!$B$50,0)</f>
        <v/>
      </c>
      <c r="AC8" s="17">
        <f>IF(26=Assumptions!$B$53,Assumptions!$B$49*Assumptions!$B$50,0)</f>
        <v/>
      </c>
      <c r="AD8" s="17">
        <f>IF(27=Assumptions!$B$53,Assumptions!$B$49*Assumptions!$B$50,0)</f>
        <v/>
      </c>
      <c r="AE8" s="17">
        <f>IF(28=Assumptions!$B$53,Assumptions!$B$49*Assumptions!$B$50,0)</f>
        <v/>
      </c>
      <c r="AF8" s="17">
        <f>IF(29=Assumptions!$B$53,Assumptions!$B$49*Assumptions!$B$50,0)</f>
        <v/>
      </c>
      <c r="AG8" s="17">
        <f>IF(30=Assumptions!$B$53,Assumptions!$B$49*Assumptions!$B$50,0)</f>
        <v/>
      </c>
      <c r="AH8" s="17">
        <f>IF(31=Assumptions!$B$53,Assumptions!$B$49*Assumptions!$B$50,0)</f>
        <v/>
      </c>
      <c r="AI8" s="17">
        <f>IF(32=Assumptions!$B$53,Assumptions!$B$49*Assumptions!$B$50,0)</f>
        <v/>
      </c>
      <c r="AJ8" s="17">
        <f>IF(33=Assumptions!$B$53,Assumptions!$B$49*Assumptions!$B$50,0)</f>
        <v/>
      </c>
      <c r="AK8" s="17">
        <f>IF(34=Assumptions!$B$53,Assumptions!$B$49*Assumptions!$B$50,0)</f>
        <v/>
      </c>
      <c r="AL8" s="17">
        <f>IF(35=Assumptions!$B$53,Assumptions!$B$49*Assumptions!$B$50,0)</f>
        <v/>
      </c>
      <c r="AM8" s="17">
        <f>IF(36=Assumptions!$B$53,Assumptions!$B$49*Assumptions!$B$50,0)</f>
        <v/>
      </c>
      <c r="AN8" s="17">
        <f>IF(37=Assumptions!$B$53,Assumptions!$B$49*Assumptions!$B$50,0)</f>
        <v/>
      </c>
      <c r="AO8" s="17">
        <f>IF(38=Assumptions!$B$53,Assumptions!$B$49*Assumptions!$B$50,0)</f>
        <v/>
      </c>
      <c r="AP8" s="17">
        <f>IF(39=Assumptions!$B$53,Assumptions!$B$49*Assumptions!$B$50,0)</f>
        <v/>
      </c>
      <c r="AQ8" s="17">
        <f>IF(40=Assumptions!$B$53,Assumptions!$B$49*Assumptions!$B$50,0)</f>
        <v/>
      </c>
      <c r="AR8" s="17">
        <f>IF(41=Assumptions!$B$53,Assumptions!$B$49*Assumptions!$B$50,0)</f>
        <v/>
      </c>
      <c r="AS8" s="17">
        <f>IF(42=Assumptions!$B$53,Assumptions!$B$49*Assumptions!$B$50,0)</f>
        <v/>
      </c>
      <c r="AT8" s="17">
        <f>IF(43=Assumptions!$B$53,Assumptions!$B$49*Assumptions!$B$50,0)</f>
        <v/>
      </c>
      <c r="AU8" s="17">
        <f>IF(44=Assumptions!$B$53,Assumptions!$B$49*Assumptions!$B$50,0)</f>
        <v/>
      </c>
      <c r="AV8" s="17">
        <f>IF(45=Assumptions!$B$53,Assumptions!$B$49*Assumptions!$B$50,0)</f>
        <v/>
      </c>
      <c r="AW8" s="17">
        <f>IF(46=Assumptions!$B$53,Assumptions!$B$49*Assumptions!$B$50,0)</f>
        <v/>
      </c>
      <c r="AX8" s="17">
        <f>IF(47=Assumptions!$B$53,Assumptions!$B$49*Assumptions!$B$50,0)</f>
        <v/>
      </c>
      <c r="AY8" s="17">
        <f>IF(48=Assumptions!$B$53,Assumptions!$B$49*Assumptions!$B$50,0)</f>
        <v/>
      </c>
      <c r="AZ8" s="17">
        <f>IF(49=Assumptions!$B$53,Assumptions!$B$49*Assumptions!$B$50,0)</f>
        <v/>
      </c>
      <c r="BA8" s="17">
        <f>IF(50=Assumptions!$B$53,Assumptions!$B$49*Assumptions!$B$50,0)</f>
        <v/>
      </c>
      <c r="BB8" s="17">
        <f>IF(51=Assumptions!$B$53,Assumptions!$B$49*Assumptions!$B$50,0)</f>
        <v/>
      </c>
      <c r="BC8" s="17">
        <f>IF(52=Assumptions!$B$53,Assumptions!$B$49*Assumptions!$B$50,0)</f>
        <v/>
      </c>
      <c r="BD8" s="17">
        <f>IF(53=Assumptions!$B$53,Assumptions!$B$49*Assumptions!$B$50,0)</f>
        <v/>
      </c>
      <c r="BE8" s="17">
        <f>IF(54=Assumptions!$B$53,Assumptions!$B$49*Assumptions!$B$50,0)</f>
        <v/>
      </c>
      <c r="BF8" s="17">
        <f>IF(55=Assumptions!$B$53,Assumptions!$B$49*Assumptions!$B$50,0)</f>
        <v/>
      </c>
      <c r="BG8" s="17">
        <f>IF(56=Assumptions!$B$53,Assumptions!$B$49*Assumptions!$B$50,0)</f>
        <v/>
      </c>
      <c r="BH8" s="17">
        <f>IF(57=Assumptions!$B$53,Assumptions!$B$49*Assumptions!$B$50,0)</f>
        <v/>
      </c>
      <c r="BI8" s="17">
        <f>IF(58=Assumptions!$B$53,Assumptions!$B$49*Assumptions!$B$50,0)</f>
        <v/>
      </c>
      <c r="BJ8" s="17">
        <f>IF(59=Assumptions!$B$53,Assumptions!$B$49*Assumptions!$B$50,0)</f>
        <v/>
      </c>
      <c r="BK8" s="17">
        <f>IF(60=Assumptions!$B$53,Assumptions!$B$49*Assumptions!$B$50,0)</f>
        <v/>
      </c>
      <c r="BL8" s="17">
        <f>IF(61=Assumptions!$B$53,Assumptions!$B$49*Assumptions!$B$50,0)</f>
        <v/>
      </c>
      <c r="BM8" s="17">
        <f>IF(62=Assumptions!$B$53,Assumptions!$B$49*Assumptions!$B$50,0)</f>
        <v/>
      </c>
      <c r="BN8" s="17">
        <f>IF(63=Assumptions!$B$53,Assumptions!$B$49*Assumptions!$B$50,0)</f>
        <v/>
      </c>
      <c r="BO8" s="17">
        <f>IF(64=Assumptions!$B$53,Assumptions!$B$49*Assumptions!$B$50,0)</f>
        <v/>
      </c>
      <c r="BP8" s="17">
        <f>IF(65=Assumptions!$B$53,Assumptions!$B$49*Assumptions!$B$50,0)</f>
        <v/>
      </c>
      <c r="BQ8" s="17">
        <f>IF(66=Assumptions!$B$53,Assumptions!$B$49*Assumptions!$B$50,0)</f>
        <v/>
      </c>
      <c r="BR8" s="17">
        <f>IF(67=Assumptions!$B$53,Assumptions!$B$49*Assumptions!$B$50,0)</f>
        <v/>
      </c>
      <c r="BS8" s="17">
        <f>IF(68=Assumptions!$B$53,Assumptions!$B$49*Assumptions!$B$50,0)</f>
        <v/>
      </c>
      <c r="BT8" s="17">
        <f>IF(69=Assumptions!$B$53,Assumptions!$B$49*Assumptions!$B$50,0)</f>
        <v/>
      </c>
      <c r="BU8" s="17">
        <f>IF(70=Assumptions!$B$53,Assumptions!$B$49*Assumptions!$B$50,0)</f>
        <v/>
      </c>
      <c r="BV8" s="17">
        <f>IF(71=Assumptions!$B$53,Assumptions!$B$49*Assumptions!$B$50,0)</f>
        <v/>
      </c>
      <c r="BW8" s="17">
        <f>IF(72=Assumptions!$B$53,Assumptions!$B$49*Assumptions!$B$50,0)</f>
        <v/>
      </c>
    </row>
    <row r="9">
      <c r="A9" s="1" t="inlineStr">
        <is>
          <t>End balance</t>
        </is>
      </c>
      <c r="C9" s="17">
        <f>C5</f>
        <v/>
      </c>
      <c r="D9" s="101">
        <f>D5+D6</f>
        <v/>
      </c>
      <c r="E9" s="101">
        <f>E5+E6</f>
        <v/>
      </c>
      <c r="F9" s="101">
        <f>F5+F6</f>
        <v/>
      </c>
      <c r="G9" s="101">
        <f>G5+G6</f>
        <v/>
      </c>
      <c r="H9" s="101">
        <f>H5+H6</f>
        <v/>
      </c>
      <c r="I9" s="101">
        <f>I5+I6</f>
        <v/>
      </c>
      <c r="J9" s="101">
        <f>J5+J6</f>
        <v/>
      </c>
      <c r="K9" s="101">
        <f>K5+K6</f>
        <v/>
      </c>
      <c r="L9" s="101">
        <f>L5+L6</f>
        <v/>
      </c>
      <c r="M9" s="101">
        <f>M5+M6</f>
        <v/>
      </c>
      <c r="N9" s="101">
        <f>N5+N6</f>
        <v/>
      </c>
      <c r="O9" s="101">
        <f>O5+O6</f>
        <v/>
      </c>
      <c r="P9" s="101">
        <f>P5+P6</f>
        <v/>
      </c>
      <c r="Q9" s="101">
        <f>Q5+Q6</f>
        <v/>
      </c>
      <c r="R9" s="101">
        <f>R5+R6</f>
        <v/>
      </c>
      <c r="S9" s="101">
        <f>S5+S6</f>
        <v/>
      </c>
      <c r="T9" s="101">
        <f>T5+T6</f>
        <v/>
      </c>
      <c r="U9" s="101">
        <f>U5+U6</f>
        <v/>
      </c>
      <c r="V9" s="101">
        <f>V5+V6</f>
        <v/>
      </c>
      <c r="W9" s="101">
        <f>W5+W6</f>
        <v/>
      </c>
      <c r="X9" s="101">
        <f>X5+X6</f>
        <v/>
      </c>
      <c r="Y9" s="101">
        <f>Y5+Y6</f>
        <v/>
      </c>
      <c r="Z9" s="101">
        <f>Z5+Z6</f>
        <v/>
      </c>
      <c r="AA9" s="101">
        <f>AA5+AA6</f>
        <v/>
      </c>
      <c r="AB9" s="101">
        <f>AB5+AB6</f>
        <v/>
      </c>
      <c r="AC9" s="101">
        <f>AC5+AC6</f>
        <v/>
      </c>
      <c r="AD9" s="101">
        <f>AD5+AD6</f>
        <v/>
      </c>
      <c r="AE9" s="101">
        <f>AE5+AE6</f>
        <v/>
      </c>
      <c r="AF9" s="101">
        <f>AF5+AF6</f>
        <v/>
      </c>
      <c r="AG9" s="101">
        <f>AG5+AG6</f>
        <v/>
      </c>
      <c r="AH9" s="101">
        <f>AH5+AH6</f>
        <v/>
      </c>
      <c r="AI9" s="101">
        <f>AI5+AI6</f>
        <v/>
      </c>
      <c r="AJ9" s="101">
        <f>AJ5+AJ6</f>
        <v/>
      </c>
      <c r="AK9" s="101">
        <f>AK5+AK6</f>
        <v/>
      </c>
      <c r="AL9" s="101">
        <f>AL5+AL6</f>
        <v/>
      </c>
      <c r="AM9" s="101">
        <f>AM5+AM6</f>
        <v/>
      </c>
      <c r="AN9" s="101">
        <f>AN5+AN6</f>
        <v/>
      </c>
      <c r="AO9" s="101">
        <f>AO5+AO6</f>
        <v/>
      </c>
      <c r="AP9" s="101">
        <f>AP5+AP6</f>
        <v/>
      </c>
      <c r="AQ9" s="101">
        <f>AQ5+AQ6</f>
        <v/>
      </c>
      <c r="AR9" s="101">
        <f>AR5+AR6</f>
        <v/>
      </c>
      <c r="AS9" s="101">
        <f>AS5+AS6</f>
        <v/>
      </c>
      <c r="AT9" s="101">
        <f>AT5+AT6</f>
        <v/>
      </c>
      <c r="AU9" s="101">
        <f>AU5+AU6</f>
        <v/>
      </c>
      <c r="AV9" s="101">
        <f>AV5+AV6</f>
        <v/>
      </c>
      <c r="AW9" s="101">
        <f>AW5+AW6</f>
        <v/>
      </c>
      <c r="AX9" s="101">
        <f>AX5+AX6</f>
        <v/>
      </c>
      <c r="AY9" s="101">
        <f>AY5+AY6</f>
        <v/>
      </c>
      <c r="AZ9" s="101">
        <f>AZ5+AZ6</f>
        <v/>
      </c>
      <c r="BA9" s="101">
        <f>BA5+BA6</f>
        <v/>
      </c>
      <c r="BB9" s="101">
        <f>BB5+BB6</f>
        <v/>
      </c>
      <c r="BC9" s="101">
        <f>BC5+BC6</f>
        <v/>
      </c>
      <c r="BD9" s="101">
        <f>BD5+BD6</f>
        <v/>
      </c>
      <c r="BE9" s="101">
        <f>BE5+BE6</f>
        <v/>
      </c>
      <c r="BF9" s="101">
        <f>BF5+BF6</f>
        <v/>
      </c>
      <c r="BG9" s="101">
        <f>BG5+BG6</f>
        <v/>
      </c>
      <c r="BH9" s="101">
        <f>BH5+BH6</f>
        <v/>
      </c>
      <c r="BI9" s="101">
        <f>BI5+BI6</f>
        <v/>
      </c>
      <c r="BJ9" s="101">
        <f>BJ5+BJ6</f>
        <v/>
      </c>
      <c r="BK9" s="101">
        <f>BK5+BK6</f>
        <v/>
      </c>
      <c r="BL9" s="101">
        <f>BL5+BL6</f>
        <v/>
      </c>
      <c r="BM9" s="101">
        <f>BM5+BM6</f>
        <v/>
      </c>
      <c r="BN9" s="101">
        <f>BN5+BN6</f>
        <v/>
      </c>
      <c r="BO9" s="101">
        <f>BO5+BO6</f>
        <v/>
      </c>
      <c r="BP9" s="101">
        <f>BP5+BP6</f>
        <v/>
      </c>
      <c r="BQ9" s="101">
        <f>BQ5+BQ6</f>
        <v/>
      </c>
      <c r="BR9" s="101">
        <f>BR5+BR6</f>
        <v/>
      </c>
      <c r="BS9" s="101">
        <f>BS5+BS6</f>
        <v/>
      </c>
      <c r="BT9" s="101">
        <f>BT5+BT6</f>
        <v/>
      </c>
      <c r="BU9" s="101">
        <f>BU5+BU6</f>
        <v/>
      </c>
      <c r="BV9" s="101">
        <f>BV5+BV6</f>
        <v/>
      </c>
      <c r="BW9" s="101">
        <f>BW5+BW6</f>
        <v/>
      </c>
    </row>
    <row r="11">
      <c r="A11" s="1" t="inlineStr">
        <is>
          <t>Notes</t>
        </is>
      </c>
    </row>
    <row r="12">
      <c r="A12" t="inlineStr">
        <is>
          <t>V50 has interest-only with month-7 start. $15M CD pledged 1:1 as collateral.</t>
        </is>
      </c>
    </row>
    <row r="13">
      <c r="A13" t="inlineStr">
        <is>
          <t>Net debt at LTM Sep-25: ~$1M (drawn $15M − $15M CD − $1M cash) — effectively unlevered.</t>
        </is>
      </c>
    </row>
    <row r="14">
      <c r="A14" s="5" t="inlineStr">
        <is>
          <t>No principal amortization modeled (Assumptions!B52 = 0 months term).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/>
  </sheetPr>
  <dimension ref="A1:BZ131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H12" sqref="H12"/>
    </sheetView>
  </sheetViews>
  <sheetFormatPr baseColWidth="10" defaultColWidth="8.83203125" defaultRowHeight="15"/>
  <cols>
    <col width="50" customWidth="1" style="50" min="1" max="1"/>
    <col width="15" customWidth="1" style="50" min="2" max="2"/>
    <col width="15" customWidth="1" style="50" min="3" max="3"/>
    <col width="15" customWidth="1" style="50" min="4" max="75"/>
    <col width="15" customWidth="1" style="50" min="5" max="5"/>
    <col width="15" customWidth="1" style="50" min="6" max="6"/>
    <col width="15" customWidth="1" style="50" min="7" max="7"/>
    <col width="15" customWidth="1" style="50" min="8" max="8"/>
  </cols>
  <sheetData>
    <row r="1" ht="24" customHeight="1" s="50">
      <c r="A1" s="95" t="inlineStr">
        <is>
          <t>Financial Detail — Consolidated Monthly P&amp;L</t>
        </is>
      </c>
    </row>
    <row r="2">
      <c r="A2" s="5" t="inlineStr">
        <is>
          <t>Consolidates 4 product engines + SG&amp;A + Debt. Matches V50 row structure.</t>
        </is>
      </c>
    </row>
    <row r="3">
      <c r="C3" s="1" t="inlineStr">
        <is>
          <t>2024A</t>
        </is>
      </c>
      <c r="D3" s="1" t="n">
        <v>2025</v>
      </c>
      <c r="E3" s="1" t="n">
        <v>2025</v>
      </c>
      <c r="F3" s="1" t="n">
        <v>2025</v>
      </c>
      <c r="G3" s="1" t="n">
        <v>2025</v>
      </c>
      <c r="H3" s="1" t="n">
        <v>2025</v>
      </c>
      <c r="I3" s="1" t="n">
        <v>2025</v>
      </c>
      <c r="J3" s="1" t="n">
        <v>2025</v>
      </c>
      <c r="K3" s="1" t="n">
        <v>2025</v>
      </c>
      <c r="L3" s="1" t="n">
        <v>2025</v>
      </c>
      <c r="M3" s="1" t="n">
        <v>2025</v>
      </c>
      <c r="N3" s="1" t="n">
        <v>2025</v>
      </c>
      <c r="O3" s="1" t="n">
        <v>2025</v>
      </c>
      <c r="P3" s="1" t="n">
        <v>2026</v>
      </c>
      <c r="Q3" s="1" t="n">
        <v>2026</v>
      </c>
      <c r="R3" s="1" t="n">
        <v>2026</v>
      </c>
      <c r="S3" s="1" t="n">
        <v>2026</v>
      </c>
      <c r="T3" s="1" t="n">
        <v>2026</v>
      </c>
      <c r="U3" s="1" t="n">
        <v>2026</v>
      </c>
      <c r="V3" s="1" t="n">
        <v>2026</v>
      </c>
      <c r="W3" s="1" t="n">
        <v>2026</v>
      </c>
      <c r="X3" s="1" t="n">
        <v>2026</v>
      </c>
      <c r="Y3" s="1" t="n">
        <v>2026</v>
      </c>
      <c r="Z3" s="1" t="n">
        <v>2026</v>
      </c>
      <c r="AA3" s="1" t="n">
        <v>2026</v>
      </c>
      <c r="AB3" s="1" t="n">
        <v>2027</v>
      </c>
      <c r="AC3" s="1" t="n">
        <v>2027</v>
      </c>
      <c r="AD3" s="1" t="n">
        <v>2027</v>
      </c>
      <c r="AE3" s="1" t="n">
        <v>2027</v>
      </c>
      <c r="AF3" s="1" t="n">
        <v>2027</v>
      </c>
      <c r="AG3" s="1" t="n">
        <v>2027</v>
      </c>
      <c r="AH3" s="1" t="n">
        <v>2027</v>
      </c>
      <c r="AI3" s="1" t="n">
        <v>2027</v>
      </c>
      <c r="AJ3" s="1" t="n">
        <v>2027</v>
      </c>
      <c r="AK3" s="1" t="n">
        <v>2027</v>
      </c>
      <c r="AL3" s="1" t="n">
        <v>2027</v>
      </c>
      <c r="AM3" s="1" t="n">
        <v>2027</v>
      </c>
      <c r="AN3" s="1" t="n">
        <v>2028</v>
      </c>
      <c r="AO3" s="1" t="n">
        <v>2028</v>
      </c>
      <c r="AP3" s="1" t="n">
        <v>2028</v>
      </c>
      <c r="AQ3" s="1" t="n">
        <v>2028</v>
      </c>
      <c r="AR3" s="1" t="n">
        <v>2028</v>
      </c>
      <c r="AS3" s="1" t="n">
        <v>2028</v>
      </c>
      <c r="AT3" s="1" t="n">
        <v>2028</v>
      </c>
      <c r="AU3" s="1" t="n">
        <v>2028</v>
      </c>
      <c r="AV3" s="1" t="n">
        <v>2028</v>
      </c>
      <c r="AW3" s="1" t="n">
        <v>2028</v>
      </c>
      <c r="AX3" s="1" t="n">
        <v>2028</v>
      </c>
      <c r="AY3" s="1" t="n">
        <v>2028</v>
      </c>
      <c r="AZ3" s="1" t="n">
        <v>2029</v>
      </c>
      <c r="BA3" s="1" t="n">
        <v>2029</v>
      </c>
      <c r="BB3" s="1" t="n">
        <v>2029</v>
      </c>
      <c r="BC3" s="1" t="n">
        <v>2029</v>
      </c>
      <c r="BD3" s="1" t="n">
        <v>2029</v>
      </c>
      <c r="BE3" s="1" t="n">
        <v>2029</v>
      </c>
      <c r="BF3" s="1" t="n">
        <v>2029</v>
      </c>
      <c r="BG3" s="1" t="n">
        <v>2029</v>
      </c>
      <c r="BH3" s="1" t="n">
        <v>2029</v>
      </c>
      <c r="BI3" s="1" t="n">
        <v>2029</v>
      </c>
      <c r="BJ3" s="1" t="n">
        <v>2029</v>
      </c>
      <c r="BK3" s="1" t="n">
        <v>2029</v>
      </c>
      <c r="BL3" s="1" t="n">
        <v>2030</v>
      </c>
      <c r="BM3" s="1" t="n">
        <v>2030</v>
      </c>
      <c r="BN3" s="1" t="n">
        <v>2030</v>
      </c>
      <c r="BO3" s="1" t="n">
        <v>2030</v>
      </c>
      <c r="BP3" s="1" t="n">
        <v>2030</v>
      </c>
      <c r="BQ3" s="1" t="n">
        <v>2030</v>
      </c>
      <c r="BR3" s="1" t="n">
        <v>2030</v>
      </c>
      <c r="BS3" s="1" t="n">
        <v>2030</v>
      </c>
      <c r="BT3" s="1" t="n">
        <v>2030</v>
      </c>
      <c r="BU3" s="1" t="n">
        <v>2030</v>
      </c>
      <c r="BV3" s="1" t="n">
        <v>2030</v>
      </c>
      <c r="BW3" s="1" t="n">
        <v>2030</v>
      </c>
    </row>
    <row r="4">
      <c r="C4" s="5" t="inlineStr">
        <is>
          <t>Anchor</t>
        </is>
      </c>
      <c r="D4" s="5" t="inlineStr">
        <is>
          <t>2025-01</t>
        </is>
      </c>
      <c r="E4" s="5" t="inlineStr">
        <is>
          <t>2025-02</t>
        </is>
      </c>
      <c r="F4" s="5" t="inlineStr">
        <is>
          <t>2025-03</t>
        </is>
      </c>
      <c r="G4" s="5" t="inlineStr">
        <is>
          <t>2025-04</t>
        </is>
      </c>
      <c r="H4" s="5" t="inlineStr">
        <is>
          <t>2025-05</t>
        </is>
      </c>
      <c r="I4" s="5" t="inlineStr">
        <is>
          <t>2025-06</t>
        </is>
      </c>
      <c r="J4" s="5" t="inlineStr">
        <is>
          <t>2025-07</t>
        </is>
      </c>
      <c r="K4" s="5" t="inlineStr">
        <is>
          <t>2025-08</t>
        </is>
      </c>
      <c r="L4" s="5" t="inlineStr">
        <is>
          <t>2025-09</t>
        </is>
      </c>
      <c r="M4" s="5" t="inlineStr">
        <is>
          <t>2025-10</t>
        </is>
      </c>
      <c r="N4" s="5" t="inlineStr">
        <is>
          <t>2025-11</t>
        </is>
      </c>
      <c r="O4" s="5" t="inlineStr">
        <is>
          <t>2025-12</t>
        </is>
      </c>
      <c r="P4" s="5" t="inlineStr">
        <is>
          <t>2026-01</t>
        </is>
      </c>
      <c r="Q4" s="5" t="inlineStr">
        <is>
          <t>2026-02</t>
        </is>
      </c>
      <c r="R4" s="5" t="inlineStr">
        <is>
          <t>2026-03</t>
        </is>
      </c>
      <c r="S4" s="5" t="inlineStr">
        <is>
          <t>2026-04</t>
        </is>
      </c>
      <c r="T4" s="5" t="inlineStr">
        <is>
          <t>2026-05</t>
        </is>
      </c>
      <c r="U4" s="5" t="inlineStr">
        <is>
          <t>2026-06</t>
        </is>
      </c>
      <c r="V4" s="5" t="inlineStr">
        <is>
          <t>2026-07</t>
        </is>
      </c>
      <c r="W4" s="5" t="inlineStr">
        <is>
          <t>2026-08</t>
        </is>
      </c>
      <c r="X4" s="5" t="inlineStr">
        <is>
          <t>2026-09</t>
        </is>
      </c>
      <c r="Y4" s="5" t="inlineStr">
        <is>
          <t>2026-10</t>
        </is>
      </c>
      <c r="Z4" s="5" t="inlineStr">
        <is>
          <t>2026-11</t>
        </is>
      </c>
      <c r="AA4" s="5" t="inlineStr">
        <is>
          <t>2026-12</t>
        </is>
      </c>
      <c r="AB4" s="5" t="inlineStr">
        <is>
          <t>2027-01</t>
        </is>
      </c>
      <c r="AC4" s="5" t="inlineStr">
        <is>
          <t>2027-02</t>
        </is>
      </c>
      <c r="AD4" s="5" t="inlineStr">
        <is>
          <t>2027-03</t>
        </is>
      </c>
      <c r="AE4" s="5" t="inlineStr">
        <is>
          <t>2027-04</t>
        </is>
      </c>
      <c r="AF4" s="5" t="inlineStr">
        <is>
          <t>2027-05</t>
        </is>
      </c>
      <c r="AG4" s="5" t="inlineStr">
        <is>
          <t>2027-06</t>
        </is>
      </c>
      <c r="AH4" s="5" t="inlineStr">
        <is>
          <t>2027-07</t>
        </is>
      </c>
      <c r="AI4" s="5" t="inlineStr">
        <is>
          <t>2027-08</t>
        </is>
      </c>
      <c r="AJ4" s="5" t="inlineStr">
        <is>
          <t>2027-09</t>
        </is>
      </c>
      <c r="AK4" s="5" t="inlineStr">
        <is>
          <t>2027-10</t>
        </is>
      </c>
      <c r="AL4" s="5" t="inlineStr">
        <is>
          <t>2027-11</t>
        </is>
      </c>
      <c r="AM4" s="5" t="inlineStr">
        <is>
          <t>2027-12</t>
        </is>
      </c>
      <c r="AN4" s="5" t="inlineStr">
        <is>
          <t>2028-01</t>
        </is>
      </c>
      <c r="AO4" s="5" t="inlineStr">
        <is>
          <t>2028-02</t>
        </is>
      </c>
      <c r="AP4" s="5" t="inlineStr">
        <is>
          <t>2028-03</t>
        </is>
      </c>
      <c r="AQ4" s="5" t="inlineStr">
        <is>
          <t>2028-04</t>
        </is>
      </c>
      <c r="AR4" s="5" t="inlineStr">
        <is>
          <t>2028-05</t>
        </is>
      </c>
      <c r="AS4" s="5" t="inlineStr">
        <is>
          <t>2028-06</t>
        </is>
      </c>
      <c r="AT4" s="5" t="inlineStr">
        <is>
          <t>2028-07</t>
        </is>
      </c>
      <c r="AU4" s="5" t="inlineStr">
        <is>
          <t>2028-08</t>
        </is>
      </c>
      <c r="AV4" s="5" t="inlineStr">
        <is>
          <t>2028-09</t>
        </is>
      </c>
      <c r="AW4" s="5" t="inlineStr">
        <is>
          <t>2028-10</t>
        </is>
      </c>
      <c r="AX4" s="5" t="inlineStr">
        <is>
          <t>2028-11</t>
        </is>
      </c>
      <c r="AY4" s="5" t="inlineStr">
        <is>
          <t>2028-12</t>
        </is>
      </c>
      <c r="AZ4" s="5" t="inlineStr">
        <is>
          <t>2029-01</t>
        </is>
      </c>
      <c r="BA4" s="5" t="inlineStr">
        <is>
          <t>2029-02</t>
        </is>
      </c>
      <c r="BB4" s="5" t="inlineStr">
        <is>
          <t>2029-03</t>
        </is>
      </c>
      <c r="BC4" s="5" t="inlineStr">
        <is>
          <t>2029-04</t>
        </is>
      </c>
      <c r="BD4" s="5" t="inlineStr">
        <is>
          <t>2029-05</t>
        </is>
      </c>
      <c r="BE4" s="5" t="inlineStr">
        <is>
          <t>2029-06</t>
        </is>
      </c>
      <c r="BF4" s="5" t="inlineStr">
        <is>
          <t>2029-07</t>
        </is>
      </c>
      <c r="BG4" s="5" t="inlineStr">
        <is>
          <t>2029-08</t>
        </is>
      </c>
      <c r="BH4" s="5" t="inlineStr">
        <is>
          <t>2029-09</t>
        </is>
      </c>
      <c r="BI4" s="5" t="inlineStr">
        <is>
          <t>2029-10</t>
        </is>
      </c>
      <c r="BJ4" s="5" t="inlineStr">
        <is>
          <t>2029-11</t>
        </is>
      </c>
      <c r="BK4" s="5" t="inlineStr">
        <is>
          <t>2029-12</t>
        </is>
      </c>
      <c r="BL4" s="5" t="inlineStr">
        <is>
          <t>2030-01</t>
        </is>
      </c>
      <c r="BM4" s="5" t="inlineStr">
        <is>
          <t>2030-02</t>
        </is>
      </c>
      <c r="BN4" s="5" t="inlineStr">
        <is>
          <t>2030-03</t>
        </is>
      </c>
      <c r="BO4" s="5" t="inlineStr">
        <is>
          <t>2030-04</t>
        </is>
      </c>
      <c r="BP4" s="5" t="inlineStr">
        <is>
          <t>2030-05</t>
        </is>
      </c>
      <c r="BQ4" s="5" t="inlineStr">
        <is>
          <t>2030-06</t>
        </is>
      </c>
      <c r="BR4" s="5" t="inlineStr">
        <is>
          <t>2030-07</t>
        </is>
      </c>
      <c r="BS4" s="5" t="inlineStr">
        <is>
          <t>2030-08</t>
        </is>
      </c>
      <c r="BT4" s="5" t="inlineStr">
        <is>
          <t>2030-09</t>
        </is>
      </c>
      <c r="BU4" s="5" t="inlineStr">
        <is>
          <t>2030-10</t>
        </is>
      </c>
      <c r="BV4" s="5" t="inlineStr">
        <is>
          <t>2030-11</t>
        </is>
      </c>
      <c r="BW4" s="5" t="inlineStr">
        <is>
          <t>2030-12</t>
        </is>
      </c>
      <c r="BY4" s="1" t="inlineStr">
        <is>
          <t>Row map</t>
        </is>
      </c>
    </row>
    <row r="5">
      <c r="A5" s="97" t="inlineStr">
        <is>
          <t>REVENUE</t>
        </is>
      </c>
      <c r="BY5" s="5" t="inlineStr">
        <is>
          <t>total_rev</t>
        </is>
      </c>
      <c r="BZ5" s="5" t="n">
        <v>14</v>
      </c>
    </row>
    <row r="6">
      <c r="A6" t="inlineStr">
        <is>
          <t>CX VSC revenue</t>
        </is>
      </c>
      <c r="D6" s="103">
        <f>'CX Sales'!D13</f>
        <v/>
      </c>
      <c r="E6" s="103">
        <f>'CX Sales'!E13</f>
        <v/>
      </c>
      <c r="F6" s="103">
        <f>'CX Sales'!F13</f>
        <v/>
      </c>
      <c r="G6" s="103">
        <f>'CX Sales'!G13</f>
        <v/>
      </c>
      <c r="H6" s="103">
        <f>'CX Sales'!H13</f>
        <v/>
      </c>
      <c r="I6" s="103">
        <f>'CX Sales'!I13</f>
        <v/>
      </c>
      <c r="J6" s="103">
        <f>'CX Sales'!J13</f>
        <v/>
      </c>
      <c r="K6" s="103">
        <f>'CX Sales'!K13</f>
        <v/>
      </c>
      <c r="L6" s="103">
        <f>'CX Sales'!L13</f>
        <v/>
      </c>
      <c r="M6" s="103">
        <f>'CX Sales'!M13</f>
        <v/>
      </c>
      <c r="N6" s="103">
        <f>'CX Sales'!N13</f>
        <v/>
      </c>
      <c r="O6" s="103">
        <f>'CX Sales'!O13</f>
        <v/>
      </c>
      <c r="P6" s="103">
        <f>'CX Sales'!P13</f>
        <v/>
      </c>
      <c r="Q6" s="103">
        <f>'CX Sales'!Q13</f>
        <v/>
      </c>
      <c r="R6" s="103">
        <f>'CX Sales'!R13</f>
        <v/>
      </c>
      <c r="S6" s="103">
        <f>'CX Sales'!S13</f>
        <v/>
      </c>
      <c r="T6" s="103">
        <f>'CX Sales'!T13</f>
        <v/>
      </c>
      <c r="U6" s="103">
        <f>'CX Sales'!U13</f>
        <v/>
      </c>
      <c r="V6" s="103">
        <f>'CX Sales'!V13</f>
        <v/>
      </c>
      <c r="W6" s="103">
        <f>'CX Sales'!W13</f>
        <v/>
      </c>
      <c r="X6" s="103">
        <f>'CX Sales'!X13</f>
        <v/>
      </c>
      <c r="Y6" s="103">
        <f>'CX Sales'!Y13</f>
        <v/>
      </c>
      <c r="Z6" s="103">
        <f>'CX Sales'!Z13</f>
        <v/>
      </c>
      <c r="AA6" s="103">
        <f>'CX Sales'!AA13</f>
        <v/>
      </c>
      <c r="AB6" s="103">
        <f>'CX Sales'!AB13</f>
        <v/>
      </c>
      <c r="AC6" s="103">
        <f>'CX Sales'!AC13</f>
        <v/>
      </c>
      <c r="AD6" s="103">
        <f>'CX Sales'!AD13</f>
        <v/>
      </c>
      <c r="AE6" s="103">
        <f>'CX Sales'!AE13</f>
        <v/>
      </c>
      <c r="AF6" s="103">
        <f>'CX Sales'!AF13</f>
        <v/>
      </c>
      <c r="AG6" s="103">
        <f>'CX Sales'!AG13</f>
        <v/>
      </c>
      <c r="AH6" s="103">
        <f>'CX Sales'!AH13</f>
        <v/>
      </c>
      <c r="AI6" s="103">
        <f>'CX Sales'!AI13</f>
        <v/>
      </c>
      <c r="AJ6" s="103">
        <f>'CX Sales'!AJ13</f>
        <v/>
      </c>
      <c r="AK6" s="103">
        <f>'CX Sales'!AK13</f>
        <v/>
      </c>
      <c r="AL6" s="103">
        <f>'CX Sales'!AL13</f>
        <v/>
      </c>
      <c r="AM6" s="103">
        <f>'CX Sales'!AM13</f>
        <v/>
      </c>
      <c r="AN6" s="103">
        <f>'CX Sales'!AN13</f>
        <v/>
      </c>
      <c r="AO6" s="103">
        <f>'CX Sales'!AO13</f>
        <v/>
      </c>
      <c r="AP6" s="103">
        <f>'CX Sales'!AP13</f>
        <v/>
      </c>
      <c r="AQ6" s="103">
        <f>'CX Sales'!AQ13</f>
        <v/>
      </c>
      <c r="AR6" s="103">
        <f>'CX Sales'!AR13</f>
        <v/>
      </c>
      <c r="AS6" s="103">
        <f>'CX Sales'!AS13</f>
        <v/>
      </c>
      <c r="AT6" s="103">
        <f>'CX Sales'!AT13</f>
        <v/>
      </c>
      <c r="AU6" s="103">
        <f>'CX Sales'!AU13</f>
        <v/>
      </c>
      <c r="AV6" s="103">
        <f>'CX Sales'!AV13</f>
        <v/>
      </c>
      <c r="AW6" s="103">
        <f>'CX Sales'!AW13</f>
        <v/>
      </c>
      <c r="AX6" s="103">
        <f>'CX Sales'!AX13</f>
        <v/>
      </c>
      <c r="AY6" s="103">
        <f>'CX Sales'!AY13</f>
        <v/>
      </c>
      <c r="AZ6" s="103">
        <f>'CX Sales'!AZ13</f>
        <v/>
      </c>
      <c r="BA6" s="103">
        <f>'CX Sales'!BA13</f>
        <v/>
      </c>
      <c r="BB6" s="103">
        <f>'CX Sales'!BB13</f>
        <v/>
      </c>
      <c r="BC6" s="103">
        <f>'CX Sales'!BC13</f>
        <v/>
      </c>
      <c r="BD6" s="103">
        <f>'CX Sales'!BD13</f>
        <v/>
      </c>
      <c r="BE6" s="103">
        <f>'CX Sales'!BE13</f>
        <v/>
      </c>
      <c r="BF6" s="103">
        <f>'CX Sales'!BF13</f>
        <v/>
      </c>
      <c r="BG6" s="103">
        <f>'CX Sales'!BG13</f>
        <v/>
      </c>
      <c r="BH6" s="103">
        <f>'CX Sales'!BH13</f>
        <v/>
      </c>
      <c r="BI6" s="103">
        <f>'CX Sales'!BI13</f>
        <v/>
      </c>
      <c r="BJ6" s="103">
        <f>'CX Sales'!BJ13</f>
        <v/>
      </c>
      <c r="BK6" s="103">
        <f>'CX Sales'!BK13</f>
        <v/>
      </c>
      <c r="BL6" s="103">
        <f>'CX Sales'!BL13</f>
        <v/>
      </c>
      <c r="BM6" s="103">
        <f>'CX Sales'!BM13</f>
        <v/>
      </c>
      <c r="BN6" s="103">
        <f>'CX Sales'!BN13</f>
        <v/>
      </c>
      <c r="BO6" s="103">
        <f>'CX Sales'!BO13</f>
        <v/>
      </c>
      <c r="BP6" s="103">
        <f>'CX Sales'!BP13</f>
        <v/>
      </c>
      <c r="BQ6" s="103">
        <f>'CX Sales'!BQ13</f>
        <v/>
      </c>
      <c r="BR6" s="103">
        <f>'CX Sales'!BR13</f>
        <v/>
      </c>
      <c r="BS6" s="103">
        <f>'CX Sales'!BS13</f>
        <v/>
      </c>
      <c r="BT6" s="103">
        <f>'CX Sales'!BT13</f>
        <v/>
      </c>
      <c r="BU6" s="103">
        <f>'CX Sales'!BU13</f>
        <v/>
      </c>
      <c r="BV6" s="103">
        <f>'CX Sales'!BV13</f>
        <v/>
      </c>
      <c r="BW6" s="103">
        <f>'CX Sales'!BW13</f>
        <v/>
      </c>
      <c r="BY6" s="5" t="inlineStr">
        <is>
          <t>total_cos</t>
        </is>
      </c>
      <c r="BZ6" s="5" t="n">
        <v>22</v>
      </c>
    </row>
    <row r="7">
      <c r="A7" t="inlineStr">
        <is>
          <t>CX initiation fee</t>
        </is>
      </c>
      <c r="D7" s="103">
        <f>'CX Sales'!D14</f>
        <v/>
      </c>
      <c r="E7" s="103">
        <f>'CX Sales'!E14</f>
        <v/>
      </c>
      <c r="F7" s="103">
        <f>'CX Sales'!F14</f>
        <v/>
      </c>
      <c r="G7" s="103">
        <f>'CX Sales'!G14</f>
        <v/>
      </c>
      <c r="H7" s="103">
        <f>'CX Sales'!H14</f>
        <v/>
      </c>
      <c r="I7" s="103">
        <f>'CX Sales'!I14</f>
        <v/>
      </c>
      <c r="J7" s="103">
        <f>'CX Sales'!J14</f>
        <v/>
      </c>
      <c r="K7" s="103">
        <f>'CX Sales'!K14</f>
        <v/>
      </c>
      <c r="L7" s="103">
        <f>'CX Sales'!L14</f>
        <v/>
      </c>
      <c r="M7" s="103">
        <f>'CX Sales'!M14</f>
        <v/>
      </c>
      <c r="N7" s="103">
        <f>'CX Sales'!N14</f>
        <v/>
      </c>
      <c r="O7" s="103">
        <f>'CX Sales'!O14</f>
        <v/>
      </c>
      <c r="P7" s="103">
        <f>'CX Sales'!P14</f>
        <v/>
      </c>
      <c r="Q7" s="103">
        <f>'CX Sales'!Q14</f>
        <v/>
      </c>
      <c r="R7" s="103">
        <f>'CX Sales'!R14</f>
        <v/>
      </c>
      <c r="S7" s="103">
        <f>'CX Sales'!S14</f>
        <v/>
      </c>
      <c r="T7" s="103">
        <f>'CX Sales'!T14</f>
        <v/>
      </c>
      <c r="U7" s="103">
        <f>'CX Sales'!U14</f>
        <v/>
      </c>
      <c r="V7" s="103">
        <f>'CX Sales'!V14</f>
        <v/>
      </c>
      <c r="W7" s="103">
        <f>'CX Sales'!W14</f>
        <v/>
      </c>
      <c r="X7" s="103">
        <f>'CX Sales'!X14</f>
        <v/>
      </c>
      <c r="Y7" s="103">
        <f>'CX Sales'!Y14</f>
        <v/>
      </c>
      <c r="Z7" s="103">
        <f>'CX Sales'!Z14</f>
        <v/>
      </c>
      <c r="AA7" s="103">
        <f>'CX Sales'!AA14</f>
        <v/>
      </c>
      <c r="AB7" s="103">
        <f>'CX Sales'!AB14</f>
        <v/>
      </c>
      <c r="AC7" s="103">
        <f>'CX Sales'!AC14</f>
        <v/>
      </c>
      <c r="AD7" s="103">
        <f>'CX Sales'!AD14</f>
        <v/>
      </c>
      <c r="AE7" s="103">
        <f>'CX Sales'!AE14</f>
        <v/>
      </c>
      <c r="AF7" s="103">
        <f>'CX Sales'!AF14</f>
        <v/>
      </c>
      <c r="AG7" s="103">
        <f>'CX Sales'!AG14</f>
        <v/>
      </c>
      <c r="AH7" s="103">
        <f>'CX Sales'!AH14</f>
        <v/>
      </c>
      <c r="AI7" s="103">
        <f>'CX Sales'!AI14</f>
        <v/>
      </c>
      <c r="AJ7" s="103">
        <f>'CX Sales'!AJ14</f>
        <v/>
      </c>
      <c r="AK7" s="103">
        <f>'CX Sales'!AK14</f>
        <v/>
      </c>
      <c r="AL7" s="103">
        <f>'CX Sales'!AL14</f>
        <v/>
      </c>
      <c r="AM7" s="103">
        <f>'CX Sales'!AM14</f>
        <v/>
      </c>
      <c r="AN7" s="103">
        <f>'CX Sales'!AN14</f>
        <v/>
      </c>
      <c r="AO7" s="103">
        <f>'CX Sales'!AO14</f>
        <v/>
      </c>
      <c r="AP7" s="103">
        <f>'CX Sales'!AP14</f>
        <v/>
      </c>
      <c r="AQ7" s="103">
        <f>'CX Sales'!AQ14</f>
        <v/>
      </c>
      <c r="AR7" s="103">
        <f>'CX Sales'!AR14</f>
        <v/>
      </c>
      <c r="AS7" s="103">
        <f>'CX Sales'!AS14</f>
        <v/>
      </c>
      <c r="AT7" s="103">
        <f>'CX Sales'!AT14</f>
        <v/>
      </c>
      <c r="AU7" s="103">
        <f>'CX Sales'!AU14</f>
        <v/>
      </c>
      <c r="AV7" s="103">
        <f>'CX Sales'!AV14</f>
        <v/>
      </c>
      <c r="AW7" s="103">
        <f>'CX Sales'!AW14</f>
        <v/>
      </c>
      <c r="AX7" s="103">
        <f>'CX Sales'!AX14</f>
        <v/>
      </c>
      <c r="AY7" s="103">
        <f>'CX Sales'!AY14</f>
        <v/>
      </c>
      <c r="AZ7" s="103">
        <f>'CX Sales'!AZ14</f>
        <v/>
      </c>
      <c r="BA7" s="103">
        <f>'CX Sales'!BA14</f>
        <v/>
      </c>
      <c r="BB7" s="103">
        <f>'CX Sales'!BB14</f>
        <v/>
      </c>
      <c r="BC7" s="103">
        <f>'CX Sales'!BC14</f>
        <v/>
      </c>
      <c r="BD7" s="103">
        <f>'CX Sales'!BD14</f>
        <v/>
      </c>
      <c r="BE7" s="103">
        <f>'CX Sales'!BE14</f>
        <v/>
      </c>
      <c r="BF7" s="103">
        <f>'CX Sales'!BF14</f>
        <v/>
      </c>
      <c r="BG7" s="103">
        <f>'CX Sales'!BG14</f>
        <v/>
      </c>
      <c r="BH7" s="103">
        <f>'CX Sales'!BH14</f>
        <v/>
      </c>
      <c r="BI7" s="103">
        <f>'CX Sales'!BI14</f>
        <v/>
      </c>
      <c r="BJ7" s="103">
        <f>'CX Sales'!BJ14</f>
        <v/>
      </c>
      <c r="BK7" s="103">
        <f>'CX Sales'!BK14</f>
        <v/>
      </c>
      <c r="BL7" s="103">
        <f>'CX Sales'!BL14</f>
        <v/>
      </c>
      <c r="BM7" s="103">
        <f>'CX Sales'!BM14</f>
        <v/>
      </c>
      <c r="BN7" s="103">
        <f>'CX Sales'!BN14</f>
        <v/>
      </c>
      <c r="BO7" s="103">
        <f>'CX Sales'!BO14</f>
        <v/>
      </c>
      <c r="BP7" s="103">
        <f>'CX Sales'!BP14</f>
        <v/>
      </c>
      <c r="BQ7" s="103">
        <f>'CX Sales'!BQ14</f>
        <v/>
      </c>
      <c r="BR7" s="103">
        <f>'CX Sales'!BR14</f>
        <v/>
      </c>
      <c r="BS7" s="103">
        <f>'CX Sales'!BS14</f>
        <v/>
      </c>
      <c r="BT7" s="103">
        <f>'CX Sales'!BT14</f>
        <v/>
      </c>
      <c r="BU7" s="103">
        <f>'CX Sales'!BU14</f>
        <v/>
      </c>
      <c r="BV7" s="103">
        <f>'CX Sales'!BV14</f>
        <v/>
      </c>
      <c r="BW7" s="103">
        <f>'CX Sales'!BW14</f>
        <v/>
      </c>
      <c r="BY7" s="5" t="inlineStr">
        <is>
          <t>gp</t>
        </is>
      </c>
      <c r="BZ7" s="5" t="n">
        <v>24</v>
      </c>
    </row>
    <row r="8">
      <c r="A8" t="inlineStr">
        <is>
          <t>ASD revenue</t>
        </is>
      </c>
      <c r="D8" s="103">
        <f>'ASD Sales'!D13</f>
        <v/>
      </c>
      <c r="E8" s="103">
        <f>'ASD Sales'!E13</f>
        <v/>
      </c>
      <c r="F8" s="103">
        <f>'ASD Sales'!F13</f>
        <v/>
      </c>
      <c r="G8" s="103">
        <f>'ASD Sales'!G13</f>
        <v/>
      </c>
      <c r="H8" s="103">
        <f>'ASD Sales'!H13</f>
        <v/>
      </c>
      <c r="I8" s="103">
        <f>'ASD Sales'!I13</f>
        <v/>
      </c>
      <c r="J8" s="103">
        <f>'ASD Sales'!J13</f>
        <v/>
      </c>
      <c r="K8" s="103">
        <f>'ASD Sales'!K13</f>
        <v/>
      </c>
      <c r="L8" s="103">
        <f>'ASD Sales'!L13</f>
        <v/>
      </c>
      <c r="M8" s="103">
        <f>'ASD Sales'!M13</f>
        <v/>
      </c>
      <c r="N8" s="103">
        <f>'ASD Sales'!N13</f>
        <v/>
      </c>
      <c r="O8" s="103">
        <f>'ASD Sales'!O13</f>
        <v/>
      </c>
      <c r="P8" s="103">
        <f>'ASD Sales'!P13</f>
        <v/>
      </c>
      <c r="Q8" s="103">
        <f>'ASD Sales'!Q13</f>
        <v/>
      </c>
      <c r="R8" s="103">
        <f>'ASD Sales'!R13</f>
        <v/>
      </c>
      <c r="S8" s="103">
        <f>'ASD Sales'!S13</f>
        <v/>
      </c>
      <c r="T8" s="103">
        <f>'ASD Sales'!T13</f>
        <v/>
      </c>
      <c r="U8" s="103">
        <f>'ASD Sales'!U13</f>
        <v/>
      </c>
      <c r="V8" s="103">
        <f>'ASD Sales'!V13</f>
        <v/>
      </c>
      <c r="W8" s="103">
        <f>'ASD Sales'!W13</f>
        <v/>
      </c>
      <c r="X8" s="103">
        <f>'ASD Sales'!X13</f>
        <v/>
      </c>
      <c r="Y8" s="103">
        <f>'ASD Sales'!Y13</f>
        <v/>
      </c>
      <c r="Z8" s="103">
        <f>'ASD Sales'!Z13</f>
        <v/>
      </c>
      <c r="AA8" s="103">
        <f>'ASD Sales'!AA13</f>
        <v/>
      </c>
      <c r="AB8" s="103">
        <f>'ASD Sales'!AB13</f>
        <v/>
      </c>
      <c r="AC8" s="103">
        <f>'ASD Sales'!AC13</f>
        <v/>
      </c>
      <c r="AD8" s="103">
        <f>'ASD Sales'!AD13</f>
        <v/>
      </c>
      <c r="AE8" s="103">
        <f>'ASD Sales'!AE13</f>
        <v/>
      </c>
      <c r="AF8" s="103">
        <f>'ASD Sales'!AF13</f>
        <v/>
      </c>
      <c r="AG8" s="103">
        <f>'ASD Sales'!AG13</f>
        <v/>
      </c>
      <c r="AH8" s="103">
        <f>'ASD Sales'!AH13</f>
        <v/>
      </c>
      <c r="AI8" s="103">
        <f>'ASD Sales'!AI13</f>
        <v/>
      </c>
      <c r="AJ8" s="103">
        <f>'ASD Sales'!AJ13</f>
        <v/>
      </c>
      <c r="AK8" s="103">
        <f>'ASD Sales'!AK13</f>
        <v/>
      </c>
      <c r="AL8" s="103">
        <f>'ASD Sales'!AL13</f>
        <v/>
      </c>
      <c r="AM8" s="103">
        <f>'ASD Sales'!AM13</f>
        <v/>
      </c>
      <c r="AN8" s="103">
        <f>'ASD Sales'!AN13</f>
        <v/>
      </c>
      <c r="AO8" s="103">
        <f>'ASD Sales'!AO13</f>
        <v/>
      </c>
      <c r="AP8" s="103">
        <f>'ASD Sales'!AP13</f>
        <v/>
      </c>
      <c r="AQ8" s="103">
        <f>'ASD Sales'!AQ13</f>
        <v/>
      </c>
      <c r="AR8" s="103">
        <f>'ASD Sales'!AR13</f>
        <v/>
      </c>
      <c r="AS8" s="103">
        <f>'ASD Sales'!AS13</f>
        <v/>
      </c>
      <c r="AT8" s="103">
        <f>'ASD Sales'!AT13</f>
        <v/>
      </c>
      <c r="AU8" s="103">
        <f>'ASD Sales'!AU13</f>
        <v/>
      </c>
      <c r="AV8" s="103">
        <f>'ASD Sales'!AV13</f>
        <v/>
      </c>
      <c r="AW8" s="103">
        <f>'ASD Sales'!AW13</f>
        <v/>
      </c>
      <c r="AX8" s="103">
        <f>'ASD Sales'!AX13</f>
        <v/>
      </c>
      <c r="AY8" s="103">
        <f>'ASD Sales'!AY13</f>
        <v/>
      </c>
      <c r="AZ8" s="103">
        <f>'ASD Sales'!AZ13</f>
        <v/>
      </c>
      <c r="BA8" s="103">
        <f>'ASD Sales'!BA13</f>
        <v/>
      </c>
      <c r="BB8" s="103">
        <f>'ASD Sales'!BB13</f>
        <v/>
      </c>
      <c r="BC8" s="103">
        <f>'ASD Sales'!BC13</f>
        <v/>
      </c>
      <c r="BD8" s="103">
        <f>'ASD Sales'!BD13</f>
        <v/>
      </c>
      <c r="BE8" s="103">
        <f>'ASD Sales'!BE13</f>
        <v/>
      </c>
      <c r="BF8" s="103">
        <f>'ASD Sales'!BF13</f>
        <v/>
      </c>
      <c r="BG8" s="103">
        <f>'ASD Sales'!BG13</f>
        <v/>
      </c>
      <c r="BH8" s="103">
        <f>'ASD Sales'!BH13</f>
        <v/>
      </c>
      <c r="BI8" s="103">
        <f>'ASD Sales'!BI13</f>
        <v/>
      </c>
      <c r="BJ8" s="103">
        <f>'ASD Sales'!BJ13</f>
        <v/>
      </c>
      <c r="BK8" s="103">
        <f>'ASD Sales'!BK13</f>
        <v/>
      </c>
      <c r="BL8" s="103">
        <f>'ASD Sales'!BL13</f>
        <v/>
      </c>
      <c r="BM8" s="103">
        <f>'ASD Sales'!BM13</f>
        <v/>
      </c>
      <c r="BN8" s="103">
        <f>'ASD Sales'!BN13</f>
        <v/>
      </c>
      <c r="BO8" s="103">
        <f>'ASD Sales'!BO13</f>
        <v/>
      </c>
      <c r="BP8" s="103">
        <f>'ASD Sales'!BP13</f>
        <v/>
      </c>
      <c r="BQ8" s="103">
        <f>'ASD Sales'!BQ13</f>
        <v/>
      </c>
      <c r="BR8" s="103">
        <f>'ASD Sales'!BR13</f>
        <v/>
      </c>
      <c r="BS8" s="103">
        <f>'ASD Sales'!BS13</f>
        <v/>
      </c>
      <c r="BT8" s="103">
        <f>'ASD Sales'!BT13</f>
        <v/>
      </c>
      <c r="BU8" s="103">
        <f>'ASD Sales'!BU13</f>
        <v/>
      </c>
      <c r="BV8" s="103">
        <f>'ASD Sales'!BV13</f>
        <v/>
      </c>
      <c r="BW8" s="103">
        <f>'ASD Sales'!BW13</f>
        <v/>
      </c>
      <c r="BY8" s="5" t="inlineStr">
        <is>
          <t>opex_mkt</t>
        </is>
      </c>
      <c r="BZ8" s="5" t="n">
        <v>27</v>
      </c>
    </row>
    <row r="9">
      <c r="A9" t="inlineStr">
        <is>
          <t>ASD initiation fee</t>
        </is>
      </c>
      <c r="D9" s="103">
        <f>'ASD Sales'!D14</f>
        <v/>
      </c>
      <c r="E9" s="103">
        <f>'ASD Sales'!E14</f>
        <v/>
      </c>
      <c r="F9" s="103">
        <f>'ASD Sales'!F14</f>
        <v/>
      </c>
      <c r="G9" s="103">
        <f>'ASD Sales'!G14</f>
        <v/>
      </c>
      <c r="H9" s="103">
        <f>'ASD Sales'!H14</f>
        <v/>
      </c>
      <c r="I9" s="103">
        <f>'ASD Sales'!I14</f>
        <v/>
      </c>
      <c r="J9" s="103">
        <f>'ASD Sales'!J14</f>
        <v/>
      </c>
      <c r="K9" s="103">
        <f>'ASD Sales'!K14</f>
        <v/>
      </c>
      <c r="L9" s="103">
        <f>'ASD Sales'!L14</f>
        <v/>
      </c>
      <c r="M9" s="103">
        <f>'ASD Sales'!M14</f>
        <v/>
      </c>
      <c r="N9" s="103">
        <f>'ASD Sales'!N14</f>
        <v/>
      </c>
      <c r="O9" s="103">
        <f>'ASD Sales'!O14</f>
        <v/>
      </c>
      <c r="P9" s="103">
        <f>'ASD Sales'!P14</f>
        <v/>
      </c>
      <c r="Q9" s="103">
        <f>'ASD Sales'!Q14</f>
        <v/>
      </c>
      <c r="R9" s="103">
        <f>'ASD Sales'!R14</f>
        <v/>
      </c>
      <c r="S9" s="103">
        <f>'ASD Sales'!S14</f>
        <v/>
      </c>
      <c r="T9" s="103">
        <f>'ASD Sales'!T14</f>
        <v/>
      </c>
      <c r="U9" s="103">
        <f>'ASD Sales'!U14</f>
        <v/>
      </c>
      <c r="V9" s="103">
        <f>'ASD Sales'!V14</f>
        <v/>
      </c>
      <c r="W9" s="103">
        <f>'ASD Sales'!W14</f>
        <v/>
      </c>
      <c r="X9" s="103">
        <f>'ASD Sales'!X14</f>
        <v/>
      </c>
      <c r="Y9" s="103">
        <f>'ASD Sales'!Y14</f>
        <v/>
      </c>
      <c r="Z9" s="103">
        <f>'ASD Sales'!Z14</f>
        <v/>
      </c>
      <c r="AA9" s="103">
        <f>'ASD Sales'!AA14</f>
        <v/>
      </c>
      <c r="AB9" s="103">
        <f>'ASD Sales'!AB14</f>
        <v/>
      </c>
      <c r="AC9" s="103">
        <f>'ASD Sales'!AC14</f>
        <v/>
      </c>
      <c r="AD9" s="103">
        <f>'ASD Sales'!AD14</f>
        <v/>
      </c>
      <c r="AE9" s="103">
        <f>'ASD Sales'!AE14</f>
        <v/>
      </c>
      <c r="AF9" s="103">
        <f>'ASD Sales'!AF14</f>
        <v/>
      </c>
      <c r="AG9" s="103">
        <f>'ASD Sales'!AG14</f>
        <v/>
      </c>
      <c r="AH9" s="103">
        <f>'ASD Sales'!AH14</f>
        <v/>
      </c>
      <c r="AI9" s="103">
        <f>'ASD Sales'!AI14</f>
        <v/>
      </c>
      <c r="AJ9" s="103">
        <f>'ASD Sales'!AJ14</f>
        <v/>
      </c>
      <c r="AK9" s="103">
        <f>'ASD Sales'!AK14</f>
        <v/>
      </c>
      <c r="AL9" s="103">
        <f>'ASD Sales'!AL14</f>
        <v/>
      </c>
      <c r="AM9" s="103">
        <f>'ASD Sales'!AM14</f>
        <v/>
      </c>
      <c r="AN9" s="103">
        <f>'ASD Sales'!AN14</f>
        <v/>
      </c>
      <c r="AO9" s="103">
        <f>'ASD Sales'!AO14</f>
        <v/>
      </c>
      <c r="AP9" s="103">
        <f>'ASD Sales'!AP14</f>
        <v/>
      </c>
      <c r="AQ9" s="103">
        <f>'ASD Sales'!AQ14</f>
        <v/>
      </c>
      <c r="AR9" s="103">
        <f>'ASD Sales'!AR14</f>
        <v/>
      </c>
      <c r="AS9" s="103">
        <f>'ASD Sales'!AS14</f>
        <v/>
      </c>
      <c r="AT9" s="103">
        <f>'ASD Sales'!AT14</f>
        <v/>
      </c>
      <c r="AU9" s="103">
        <f>'ASD Sales'!AU14</f>
        <v/>
      </c>
      <c r="AV9" s="103">
        <f>'ASD Sales'!AV14</f>
        <v/>
      </c>
      <c r="AW9" s="103">
        <f>'ASD Sales'!AW14</f>
        <v/>
      </c>
      <c r="AX9" s="103">
        <f>'ASD Sales'!AX14</f>
        <v/>
      </c>
      <c r="AY9" s="103">
        <f>'ASD Sales'!AY14</f>
        <v/>
      </c>
      <c r="AZ9" s="103">
        <f>'ASD Sales'!AZ14</f>
        <v/>
      </c>
      <c r="BA9" s="103">
        <f>'ASD Sales'!BA14</f>
        <v/>
      </c>
      <c r="BB9" s="103">
        <f>'ASD Sales'!BB14</f>
        <v/>
      </c>
      <c r="BC9" s="103">
        <f>'ASD Sales'!BC14</f>
        <v/>
      </c>
      <c r="BD9" s="103">
        <f>'ASD Sales'!BD14</f>
        <v/>
      </c>
      <c r="BE9" s="103">
        <f>'ASD Sales'!BE14</f>
        <v/>
      </c>
      <c r="BF9" s="103">
        <f>'ASD Sales'!BF14</f>
        <v/>
      </c>
      <c r="BG9" s="103">
        <f>'ASD Sales'!BG14</f>
        <v/>
      </c>
      <c r="BH9" s="103">
        <f>'ASD Sales'!BH14</f>
        <v/>
      </c>
      <c r="BI9" s="103">
        <f>'ASD Sales'!BI14</f>
        <v/>
      </c>
      <c r="BJ9" s="103">
        <f>'ASD Sales'!BJ14</f>
        <v/>
      </c>
      <c r="BK9" s="103">
        <f>'ASD Sales'!BK14</f>
        <v/>
      </c>
      <c r="BL9" s="103">
        <f>'ASD Sales'!BL14</f>
        <v/>
      </c>
      <c r="BM9" s="103">
        <f>'ASD Sales'!BM14</f>
        <v/>
      </c>
      <c r="BN9" s="103">
        <f>'ASD Sales'!BN14</f>
        <v/>
      </c>
      <c r="BO9" s="103">
        <f>'ASD Sales'!BO14</f>
        <v/>
      </c>
      <c r="BP9" s="103">
        <f>'ASD Sales'!BP14</f>
        <v/>
      </c>
      <c r="BQ9" s="103">
        <f>'ASD Sales'!BQ14</f>
        <v/>
      </c>
      <c r="BR9" s="103">
        <f>'ASD Sales'!BR14</f>
        <v/>
      </c>
      <c r="BS9" s="103">
        <f>'ASD Sales'!BS14</f>
        <v/>
      </c>
      <c r="BT9" s="103">
        <f>'ASD Sales'!BT14</f>
        <v/>
      </c>
      <c r="BU9" s="103">
        <f>'ASD Sales'!BU14</f>
        <v/>
      </c>
      <c r="BV9" s="103">
        <f>'ASD Sales'!BV14</f>
        <v/>
      </c>
      <c r="BW9" s="103">
        <f>'ASD Sales'!BW14</f>
        <v/>
      </c>
      <c r="BY9" s="5" t="inlineStr">
        <is>
          <t>opex_comp</t>
        </is>
      </c>
      <c r="BZ9" s="5" t="n">
        <v>28</v>
      </c>
    </row>
    <row r="10">
      <c r="A10" t="inlineStr">
        <is>
          <t>Home revenue</t>
        </is>
      </c>
      <c r="D10" s="103">
        <f>'Home Sales'!D13</f>
        <v/>
      </c>
      <c r="E10" s="103">
        <f>'Home Sales'!E13</f>
        <v/>
      </c>
      <c r="F10" s="103">
        <f>'Home Sales'!F13</f>
        <v/>
      </c>
      <c r="G10" s="103">
        <f>'Home Sales'!G13</f>
        <v/>
      </c>
      <c r="H10" s="103">
        <f>'Home Sales'!H13</f>
        <v/>
      </c>
      <c r="I10" s="103">
        <f>'Home Sales'!I13</f>
        <v/>
      </c>
      <c r="J10" s="103">
        <f>'Home Sales'!J13</f>
        <v/>
      </c>
      <c r="K10" s="103">
        <f>'Home Sales'!K13</f>
        <v/>
      </c>
      <c r="L10" s="103">
        <f>'Home Sales'!L13</f>
        <v/>
      </c>
      <c r="M10" s="103">
        <f>'Home Sales'!M13</f>
        <v/>
      </c>
      <c r="N10" s="103">
        <f>'Home Sales'!N13</f>
        <v/>
      </c>
      <c r="O10" s="103">
        <f>'Home Sales'!O13</f>
        <v/>
      </c>
      <c r="P10" s="103">
        <f>'Home Sales'!P13</f>
        <v/>
      </c>
      <c r="Q10" s="103">
        <f>'Home Sales'!Q13</f>
        <v/>
      </c>
      <c r="R10" s="103">
        <f>'Home Sales'!R13</f>
        <v/>
      </c>
      <c r="S10" s="103">
        <f>'Home Sales'!S13</f>
        <v/>
      </c>
      <c r="T10" s="103">
        <f>'Home Sales'!T13</f>
        <v/>
      </c>
      <c r="U10" s="103">
        <f>'Home Sales'!U13</f>
        <v/>
      </c>
      <c r="V10" s="103">
        <f>'Home Sales'!V13</f>
        <v/>
      </c>
      <c r="W10" s="103">
        <f>'Home Sales'!W13</f>
        <v/>
      </c>
      <c r="X10" s="103">
        <f>'Home Sales'!X13</f>
        <v/>
      </c>
      <c r="Y10" s="103">
        <f>'Home Sales'!Y13</f>
        <v/>
      </c>
      <c r="Z10" s="103">
        <f>'Home Sales'!Z13</f>
        <v/>
      </c>
      <c r="AA10" s="103">
        <f>'Home Sales'!AA13</f>
        <v/>
      </c>
      <c r="AB10" s="103">
        <f>'Home Sales'!AB13</f>
        <v/>
      </c>
      <c r="AC10" s="103">
        <f>'Home Sales'!AC13</f>
        <v/>
      </c>
      <c r="AD10" s="103">
        <f>'Home Sales'!AD13</f>
        <v/>
      </c>
      <c r="AE10" s="103">
        <f>'Home Sales'!AE13</f>
        <v/>
      </c>
      <c r="AF10" s="103">
        <f>'Home Sales'!AF13</f>
        <v/>
      </c>
      <c r="AG10" s="103">
        <f>'Home Sales'!AG13</f>
        <v/>
      </c>
      <c r="AH10" s="103">
        <f>'Home Sales'!AH13</f>
        <v/>
      </c>
      <c r="AI10" s="103">
        <f>'Home Sales'!AI13</f>
        <v/>
      </c>
      <c r="AJ10" s="103">
        <f>'Home Sales'!AJ13</f>
        <v/>
      </c>
      <c r="AK10" s="103">
        <f>'Home Sales'!AK13</f>
        <v/>
      </c>
      <c r="AL10" s="103">
        <f>'Home Sales'!AL13</f>
        <v/>
      </c>
      <c r="AM10" s="103">
        <f>'Home Sales'!AM13</f>
        <v/>
      </c>
      <c r="AN10" s="103">
        <f>'Home Sales'!AN13</f>
        <v/>
      </c>
      <c r="AO10" s="103">
        <f>'Home Sales'!AO13</f>
        <v/>
      </c>
      <c r="AP10" s="103">
        <f>'Home Sales'!AP13</f>
        <v/>
      </c>
      <c r="AQ10" s="103">
        <f>'Home Sales'!AQ13</f>
        <v/>
      </c>
      <c r="AR10" s="103">
        <f>'Home Sales'!AR13</f>
        <v/>
      </c>
      <c r="AS10" s="103">
        <f>'Home Sales'!AS13</f>
        <v/>
      </c>
      <c r="AT10" s="103">
        <f>'Home Sales'!AT13</f>
        <v/>
      </c>
      <c r="AU10" s="103">
        <f>'Home Sales'!AU13</f>
        <v/>
      </c>
      <c r="AV10" s="103">
        <f>'Home Sales'!AV13</f>
        <v/>
      </c>
      <c r="AW10" s="103">
        <f>'Home Sales'!AW13</f>
        <v/>
      </c>
      <c r="AX10" s="103">
        <f>'Home Sales'!AX13</f>
        <v/>
      </c>
      <c r="AY10" s="103">
        <f>'Home Sales'!AY13</f>
        <v/>
      </c>
      <c r="AZ10" s="103">
        <f>'Home Sales'!AZ13</f>
        <v/>
      </c>
      <c r="BA10" s="103">
        <f>'Home Sales'!BA13</f>
        <v/>
      </c>
      <c r="BB10" s="103">
        <f>'Home Sales'!BB13</f>
        <v/>
      </c>
      <c r="BC10" s="103">
        <f>'Home Sales'!BC13</f>
        <v/>
      </c>
      <c r="BD10" s="103">
        <f>'Home Sales'!BD13</f>
        <v/>
      </c>
      <c r="BE10" s="103">
        <f>'Home Sales'!BE13</f>
        <v/>
      </c>
      <c r="BF10" s="103">
        <f>'Home Sales'!BF13</f>
        <v/>
      </c>
      <c r="BG10" s="103">
        <f>'Home Sales'!BG13</f>
        <v/>
      </c>
      <c r="BH10" s="103">
        <f>'Home Sales'!BH13</f>
        <v/>
      </c>
      <c r="BI10" s="103">
        <f>'Home Sales'!BI13</f>
        <v/>
      </c>
      <c r="BJ10" s="103">
        <f>'Home Sales'!BJ13</f>
        <v/>
      </c>
      <c r="BK10" s="103">
        <f>'Home Sales'!BK13</f>
        <v/>
      </c>
      <c r="BL10" s="103">
        <f>'Home Sales'!BL13</f>
        <v/>
      </c>
      <c r="BM10" s="103">
        <f>'Home Sales'!BM13</f>
        <v/>
      </c>
      <c r="BN10" s="103">
        <f>'Home Sales'!BN13</f>
        <v/>
      </c>
      <c r="BO10" s="103">
        <f>'Home Sales'!BO13</f>
        <v/>
      </c>
      <c r="BP10" s="103">
        <f>'Home Sales'!BP13</f>
        <v/>
      </c>
      <c r="BQ10" s="103">
        <f>'Home Sales'!BQ13</f>
        <v/>
      </c>
      <c r="BR10" s="103">
        <f>'Home Sales'!BR13</f>
        <v/>
      </c>
      <c r="BS10" s="103">
        <f>'Home Sales'!BS13</f>
        <v/>
      </c>
      <c r="BT10" s="103">
        <f>'Home Sales'!BT13</f>
        <v/>
      </c>
      <c r="BU10" s="103">
        <f>'Home Sales'!BU13</f>
        <v/>
      </c>
      <c r="BV10" s="103">
        <f>'Home Sales'!BV13</f>
        <v/>
      </c>
      <c r="BW10" s="103">
        <f>'Home Sales'!BW13</f>
        <v/>
      </c>
      <c r="BY10" s="5" t="inlineStr">
        <is>
          <t>opex_sga</t>
        </is>
      </c>
      <c r="BZ10" s="5" t="n">
        <v>29</v>
      </c>
    </row>
    <row r="11">
      <c r="A11" t="inlineStr">
        <is>
          <t>Home initiation fee</t>
        </is>
      </c>
      <c r="D11" s="103">
        <f>'Home Sales'!D14</f>
        <v/>
      </c>
      <c r="E11" s="103">
        <f>'Home Sales'!E14</f>
        <v/>
      </c>
      <c r="F11" s="103">
        <f>'Home Sales'!F14</f>
        <v/>
      </c>
      <c r="G11" s="103">
        <f>'Home Sales'!G14</f>
        <v/>
      </c>
      <c r="H11" s="103">
        <f>'Home Sales'!H14</f>
        <v/>
      </c>
      <c r="I11" s="103">
        <f>'Home Sales'!I14</f>
        <v/>
      </c>
      <c r="J11" s="103">
        <f>'Home Sales'!J14</f>
        <v/>
      </c>
      <c r="K11" s="103">
        <f>'Home Sales'!K14</f>
        <v/>
      </c>
      <c r="L11" s="103">
        <f>'Home Sales'!L14</f>
        <v/>
      </c>
      <c r="M11" s="103">
        <f>'Home Sales'!M14</f>
        <v/>
      </c>
      <c r="N11" s="103">
        <f>'Home Sales'!N14</f>
        <v/>
      </c>
      <c r="O11" s="103">
        <f>'Home Sales'!O14</f>
        <v/>
      </c>
      <c r="P11" s="103">
        <f>'Home Sales'!P14</f>
        <v/>
      </c>
      <c r="Q11" s="103">
        <f>'Home Sales'!Q14</f>
        <v/>
      </c>
      <c r="R11" s="103">
        <f>'Home Sales'!R14</f>
        <v/>
      </c>
      <c r="S11" s="103">
        <f>'Home Sales'!S14</f>
        <v/>
      </c>
      <c r="T11" s="103">
        <f>'Home Sales'!T14</f>
        <v/>
      </c>
      <c r="U11" s="103">
        <f>'Home Sales'!U14</f>
        <v/>
      </c>
      <c r="V11" s="103">
        <f>'Home Sales'!V14</f>
        <v/>
      </c>
      <c r="W11" s="103">
        <f>'Home Sales'!W14</f>
        <v/>
      </c>
      <c r="X11" s="103">
        <f>'Home Sales'!X14</f>
        <v/>
      </c>
      <c r="Y11" s="103">
        <f>'Home Sales'!Y14</f>
        <v/>
      </c>
      <c r="Z11" s="103">
        <f>'Home Sales'!Z14</f>
        <v/>
      </c>
      <c r="AA11" s="103">
        <f>'Home Sales'!AA14</f>
        <v/>
      </c>
      <c r="AB11" s="103">
        <f>'Home Sales'!AB14</f>
        <v/>
      </c>
      <c r="AC11" s="103">
        <f>'Home Sales'!AC14</f>
        <v/>
      </c>
      <c r="AD11" s="103">
        <f>'Home Sales'!AD14</f>
        <v/>
      </c>
      <c r="AE11" s="103">
        <f>'Home Sales'!AE14</f>
        <v/>
      </c>
      <c r="AF11" s="103">
        <f>'Home Sales'!AF14</f>
        <v/>
      </c>
      <c r="AG11" s="103">
        <f>'Home Sales'!AG14</f>
        <v/>
      </c>
      <c r="AH11" s="103">
        <f>'Home Sales'!AH14</f>
        <v/>
      </c>
      <c r="AI11" s="103">
        <f>'Home Sales'!AI14</f>
        <v/>
      </c>
      <c r="AJ11" s="103">
        <f>'Home Sales'!AJ14</f>
        <v/>
      </c>
      <c r="AK11" s="103">
        <f>'Home Sales'!AK14</f>
        <v/>
      </c>
      <c r="AL11" s="103">
        <f>'Home Sales'!AL14</f>
        <v/>
      </c>
      <c r="AM11" s="103">
        <f>'Home Sales'!AM14</f>
        <v/>
      </c>
      <c r="AN11" s="103">
        <f>'Home Sales'!AN14</f>
        <v/>
      </c>
      <c r="AO11" s="103">
        <f>'Home Sales'!AO14</f>
        <v/>
      </c>
      <c r="AP11" s="103">
        <f>'Home Sales'!AP14</f>
        <v/>
      </c>
      <c r="AQ11" s="103">
        <f>'Home Sales'!AQ14</f>
        <v/>
      </c>
      <c r="AR11" s="103">
        <f>'Home Sales'!AR14</f>
        <v/>
      </c>
      <c r="AS11" s="103">
        <f>'Home Sales'!AS14</f>
        <v/>
      </c>
      <c r="AT11" s="103">
        <f>'Home Sales'!AT14</f>
        <v/>
      </c>
      <c r="AU11" s="103">
        <f>'Home Sales'!AU14</f>
        <v/>
      </c>
      <c r="AV11" s="103">
        <f>'Home Sales'!AV14</f>
        <v/>
      </c>
      <c r="AW11" s="103">
        <f>'Home Sales'!AW14</f>
        <v/>
      </c>
      <c r="AX11" s="103">
        <f>'Home Sales'!AX14</f>
        <v/>
      </c>
      <c r="AY11" s="103">
        <f>'Home Sales'!AY14</f>
        <v/>
      </c>
      <c r="AZ11" s="103">
        <f>'Home Sales'!AZ14</f>
        <v/>
      </c>
      <c r="BA11" s="103">
        <f>'Home Sales'!BA14</f>
        <v/>
      </c>
      <c r="BB11" s="103">
        <f>'Home Sales'!BB14</f>
        <v/>
      </c>
      <c r="BC11" s="103">
        <f>'Home Sales'!BC14</f>
        <v/>
      </c>
      <c r="BD11" s="103">
        <f>'Home Sales'!BD14</f>
        <v/>
      </c>
      <c r="BE11" s="103">
        <f>'Home Sales'!BE14</f>
        <v/>
      </c>
      <c r="BF11" s="103">
        <f>'Home Sales'!BF14</f>
        <v/>
      </c>
      <c r="BG11" s="103">
        <f>'Home Sales'!BG14</f>
        <v/>
      </c>
      <c r="BH11" s="103">
        <f>'Home Sales'!BH14</f>
        <v/>
      </c>
      <c r="BI11" s="103">
        <f>'Home Sales'!BI14</f>
        <v/>
      </c>
      <c r="BJ11" s="103">
        <f>'Home Sales'!BJ14</f>
        <v/>
      </c>
      <c r="BK11" s="103">
        <f>'Home Sales'!BK14</f>
        <v/>
      </c>
      <c r="BL11" s="103">
        <f>'Home Sales'!BL14</f>
        <v/>
      </c>
      <c r="BM11" s="103">
        <f>'Home Sales'!BM14</f>
        <v/>
      </c>
      <c r="BN11" s="103">
        <f>'Home Sales'!BN14</f>
        <v/>
      </c>
      <c r="BO11" s="103">
        <f>'Home Sales'!BO14</f>
        <v/>
      </c>
      <c r="BP11" s="103">
        <f>'Home Sales'!BP14</f>
        <v/>
      </c>
      <c r="BQ11" s="103">
        <f>'Home Sales'!BQ14</f>
        <v/>
      </c>
      <c r="BR11" s="103">
        <f>'Home Sales'!BR14</f>
        <v/>
      </c>
      <c r="BS11" s="103">
        <f>'Home Sales'!BS14</f>
        <v/>
      </c>
      <c r="BT11" s="103">
        <f>'Home Sales'!BT14</f>
        <v/>
      </c>
      <c r="BU11" s="103">
        <f>'Home Sales'!BU14</f>
        <v/>
      </c>
      <c r="BV11" s="103">
        <f>'Home Sales'!BV14</f>
        <v/>
      </c>
      <c r="BW11" s="103">
        <f>'Home Sales'!BW14</f>
        <v/>
      </c>
      <c r="BY11" s="5" t="inlineStr">
        <is>
          <t>total_opex</t>
        </is>
      </c>
      <c r="BZ11" s="5" t="n">
        <v>31</v>
      </c>
    </row>
    <row r="12">
      <c r="A12" t="inlineStr">
        <is>
          <t>Producer revenue (commission)</t>
        </is>
      </c>
      <c r="D12" s="103">
        <f>'Producer Sales'!D13</f>
        <v/>
      </c>
      <c r="E12" s="103">
        <f>'Producer Sales'!E13</f>
        <v/>
      </c>
      <c r="F12" s="103">
        <f>'Producer Sales'!F13</f>
        <v/>
      </c>
      <c r="G12" s="103">
        <f>'Producer Sales'!G13</f>
        <v/>
      </c>
      <c r="H12" s="103">
        <f>'Producer Sales'!H13</f>
        <v/>
      </c>
      <c r="I12" s="103">
        <f>'Producer Sales'!I13</f>
        <v/>
      </c>
      <c r="J12" s="103">
        <f>'Producer Sales'!J13</f>
        <v/>
      </c>
      <c r="K12" s="103">
        <f>'Producer Sales'!K13</f>
        <v/>
      </c>
      <c r="L12" s="103">
        <f>'Producer Sales'!L13</f>
        <v/>
      </c>
      <c r="M12" s="103">
        <f>'Producer Sales'!M13</f>
        <v/>
      </c>
      <c r="N12" s="103">
        <f>'Producer Sales'!N13</f>
        <v/>
      </c>
      <c r="O12" s="103">
        <f>'Producer Sales'!O13</f>
        <v/>
      </c>
      <c r="P12" s="103">
        <f>'Producer Sales'!P13</f>
        <v/>
      </c>
      <c r="Q12" s="103">
        <f>'Producer Sales'!Q13</f>
        <v/>
      </c>
      <c r="R12" s="103">
        <f>'Producer Sales'!R13</f>
        <v/>
      </c>
      <c r="S12" s="103">
        <f>'Producer Sales'!S13</f>
        <v/>
      </c>
      <c r="T12" s="103">
        <f>'Producer Sales'!T13</f>
        <v/>
      </c>
      <c r="U12" s="103">
        <f>'Producer Sales'!U13</f>
        <v/>
      </c>
      <c r="V12" s="103">
        <f>'Producer Sales'!V13</f>
        <v/>
      </c>
      <c r="W12" s="103">
        <f>'Producer Sales'!W13</f>
        <v/>
      </c>
      <c r="X12" s="103">
        <f>'Producer Sales'!X13</f>
        <v/>
      </c>
      <c r="Y12" s="103">
        <f>'Producer Sales'!Y13</f>
        <v/>
      </c>
      <c r="Z12" s="103">
        <f>'Producer Sales'!Z13</f>
        <v/>
      </c>
      <c r="AA12" s="103">
        <f>'Producer Sales'!AA13</f>
        <v/>
      </c>
      <c r="AB12" s="103">
        <f>'Producer Sales'!AB13</f>
        <v/>
      </c>
      <c r="AC12" s="103">
        <f>'Producer Sales'!AC13</f>
        <v/>
      </c>
      <c r="AD12" s="103">
        <f>'Producer Sales'!AD13</f>
        <v/>
      </c>
      <c r="AE12" s="103">
        <f>'Producer Sales'!AE13</f>
        <v/>
      </c>
      <c r="AF12" s="103">
        <f>'Producer Sales'!AF13</f>
        <v/>
      </c>
      <c r="AG12" s="103">
        <f>'Producer Sales'!AG13</f>
        <v/>
      </c>
      <c r="AH12" s="103">
        <f>'Producer Sales'!AH13</f>
        <v/>
      </c>
      <c r="AI12" s="103">
        <f>'Producer Sales'!AI13</f>
        <v/>
      </c>
      <c r="AJ12" s="103">
        <f>'Producer Sales'!AJ13</f>
        <v/>
      </c>
      <c r="AK12" s="103">
        <f>'Producer Sales'!AK13</f>
        <v/>
      </c>
      <c r="AL12" s="103">
        <f>'Producer Sales'!AL13</f>
        <v/>
      </c>
      <c r="AM12" s="103">
        <f>'Producer Sales'!AM13</f>
        <v/>
      </c>
      <c r="AN12" s="103">
        <f>'Producer Sales'!AN13</f>
        <v/>
      </c>
      <c r="AO12" s="103">
        <f>'Producer Sales'!AO13</f>
        <v/>
      </c>
      <c r="AP12" s="103">
        <f>'Producer Sales'!AP13</f>
        <v/>
      </c>
      <c r="AQ12" s="103">
        <f>'Producer Sales'!AQ13</f>
        <v/>
      </c>
      <c r="AR12" s="103">
        <f>'Producer Sales'!AR13</f>
        <v/>
      </c>
      <c r="AS12" s="103">
        <f>'Producer Sales'!AS13</f>
        <v/>
      </c>
      <c r="AT12" s="103">
        <f>'Producer Sales'!AT13</f>
        <v/>
      </c>
      <c r="AU12" s="103">
        <f>'Producer Sales'!AU13</f>
        <v/>
      </c>
      <c r="AV12" s="103">
        <f>'Producer Sales'!AV13</f>
        <v/>
      </c>
      <c r="AW12" s="103">
        <f>'Producer Sales'!AW13</f>
        <v/>
      </c>
      <c r="AX12" s="103">
        <f>'Producer Sales'!AX13</f>
        <v/>
      </c>
      <c r="AY12" s="103">
        <f>'Producer Sales'!AY13</f>
        <v/>
      </c>
      <c r="AZ12" s="103">
        <f>'Producer Sales'!AZ13</f>
        <v/>
      </c>
      <c r="BA12" s="103">
        <f>'Producer Sales'!BA13</f>
        <v/>
      </c>
      <c r="BB12" s="103">
        <f>'Producer Sales'!BB13</f>
        <v/>
      </c>
      <c r="BC12" s="103">
        <f>'Producer Sales'!BC13</f>
        <v/>
      </c>
      <c r="BD12" s="103">
        <f>'Producer Sales'!BD13</f>
        <v/>
      </c>
      <c r="BE12" s="103">
        <f>'Producer Sales'!BE13</f>
        <v/>
      </c>
      <c r="BF12" s="103">
        <f>'Producer Sales'!BF13</f>
        <v/>
      </c>
      <c r="BG12" s="103">
        <f>'Producer Sales'!BG13</f>
        <v/>
      </c>
      <c r="BH12" s="103">
        <f>'Producer Sales'!BH13</f>
        <v/>
      </c>
      <c r="BI12" s="103">
        <f>'Producer Sales'!BI13</f>
        <v/>
      </c>
      <c r="BJ12" s="103">
        <f>'Producer Sales'!BJ13</f>
        <v/>
      </c>
      <c r="BK12" s="103">
        <f>'Producer Sales'!BK13</f>
        <v/>
      </c>
      <c r="BL12" s="103">
        <f>'Producer Sales'!BL13</f>
        <v/>
      </c>
      <c r="BM12" s="103">
        <f>'Producer Sales'!BM13</f>
        <v/>
      </c>
      <c r="BN12" s="103">
        <f>'Producer Sales'!BN13</f>
        <v/>
      </c>
      <c r="BO12" s="103">
        <f>'Producer Sales'!BO13</f>
        <v/>
      </c>
      <c r="BP12" s="103">
        <f>'Producer Sales'!BP13</f>
        <v/>
      </c>
      <c r="BQ12" s="103">
        <f>'Producer Sales'!BQ13</f>
        <v/>
      </c>
      <c r="BR12" s="103">
        <f>'Producer Sales'!BR13</f>
        <v/>
      </c>
      <c r="BS12" s="103">
        <f>'Producer Sales'!BS13</f>
        <v/>
      </c>
      <c r="BT12" s="103">
        <f>'Producer Sales'!BT13</f>
        <v/>
      </c>
      <c r="BU12" s="103">
        <f>'Producer Sales'!BU13</f>
        <v/>
      </c>
      <c r="BV12" s="103">
        <f>'Producer Sales'!BV13</f>
        <v/>
      </c>
      <c r="BW12" s="103">
        <f>'Producer Sales'!BW13</f>
        <v/>
      </c>
      <c r="BY12" s="5" t="inlineStr">
        <is>
          <t>ebit</t>
        </is>
      </c>
      <c r="BZ12" s="5" t="n">
        <v>33</v>
      </c>
    </row>
    <row r="13">
      <c r="BY13" s="5" t="inlineStr">
        <is>
          <t>interest</t>
        </is>
      </c>
      <c r="BZ13" s="5" t="n">
        <v>35</v>
      </c>
    </row>
    <row r="14">
      <c r="A14" s="1" t="inlineStr">
        <is>
          <t>Total revenue</t>
        </is>
      </c>
      <c r="D14" s="101">
        <f>SUM(D6:D13)</f>
        <v/>
      </c>
      <c r="E14" s="101">
        <f>SUM(E6:E13)</f>
        <v/>
      </c>
      <c r="F14" s="101">
        <f>SUM(F6:F13)</f>
        <v/>
      </c>
      <c r="G14" s="101">
        <f>SUM(G6:G13)</f>
        <v/>
      </c>
      <c r="H14" s="101">
        <f>SUM(H6:H13)</f>
        <v/>
      </c>
      <c r="I14" s="101">
        <f>SUM(I6:I13)</f>
        <v/>
      </c>
      <c r="J14" s="101">
        <f>SUM(J6:J13)</f>
        <v/>
      </c>
      <c r="K14" s="101">
        <f>SUM(K6:K13)</f>
        <v/>
      </c>
      <c r="L14" s="101">
        <f>SUM(L6:L13)</f>
        <v/>
      </c>
      <c r="M14" s="101">
        <f>SUM(M6:M13)</f>
        <v/>
      </c>
      <c r="N14" s="101">
        <f>SUM(N6:N13)</f>
        <v/>
      </c>
      <c r="O14" s="101">
        <f>SUM(O6:O13)</f>
        <v/>
      </c>
      <c r="P14" s="101">
        <f>SUM(P6:P13)</f>
        <v/>
      </c>
      <c r="Q14" s="101">
        <f>SUM(Q6:Q13)</f>
        <v/>
      </c>
      <c r="R14" s="101">
        <f>SUM(R6:R13)</f>
        <v/>
      </c>
      <c r="S14" s="101">
        <f>SUM(S6:S13)</f>
        <v/>
      </c>
      <c r="T14" s="101">
        <f>SUM(T6:T13)</f>
        <v/>
      </c>
      <c r="U14" s="101">
        <f>SUM(U6:U13)</f>
        <v/>
      </c>
      <c r="V14" s="101">
        <f>SUM(V6:V13)</f>
        <v/>
      </c>
      <c r="W14" s="101">
        <f>SUM(W6:W13)</f>
        <v/>
      </c>
      <c r="X14" s="101">
        <f>SUM(X6:X13)</f>
        <v/>
      </c>
      <c r="Y14" s="101">
        <f>SUM(Y6:Y13)</f>
        <v/>
      </c>
      <c r="Z14" s="101">
        <f>SUM(Z6:Z13)</f>
        <v/>
      </c>
      <c r="AA14" s="101">
        <f>SUM(AA6:AA13)</f>
        <v/>
      </c>
      <c r="AB14" s="101">
        <f>SUM(AB6:AB13)</f>
        <v/>
      </c>
      <c r="AC14" s="101">
        <f>SUM(AC6:AC13)</f>
        <v/>
      </c>
      <c r="AD14" s="101">
        <f>SUM(AD6:AD13)</f>
        <v/>
      </c>
      <c r="AE14" s="101">
        <f>SUM(AE6:AE13)</f>
        <v/>
      </c>
      <c r="AF14" s="101">
        <f>SUM(AF6:AF13)</f>
        <v/>
      </c>
      <c r="AG14" s="101">
        <f>SUM(AG6:AG13)</f>
        <v/>
      </c>
      <c r="AH14" s="101">
        <f>SUM(AH6:AH13)</f>
        <v/>
      </c>
      <c r="AI14" s="101">
        <f>SUM(AI6:AI13)</f>
        <v/>
      </c>
      <c r="AJ14" s="101">
        <f>SUM(AJ6:AJ13)</f>
        <v/>
      </c>
      <c r="AK14" s="101">
        <f>SUM(AK6:AK13)</f>
        <v/>
      </c>
      <c r="AL14" s="101">
        <f>SUM(AL6:AL13)</f>
        <v/>
      </c>
      <c r="AM14" s="101">
        <f>SUM(AM6:AM13)</f>
        <v/>
      </c>
      <c r="AN14" s="101">
        <f>SUM(AN6:AN13)</f>
        <v/>
      </c>
      <c r="AO14" s="101">
        <f>SUM(AO6:AO13)</f>
        <v/>
      </c>
      <c r="AP14" s="101">
        <f>SUM(AP6:AP13)</f>
        <v/>
      </c>
      <c r="AQ14" s="101">
        <f>SUM(AQ6:AQ13)</f>
        <v/>
      </c>
      <c r="AR14" s="101">
        <f>SUM(AR6:AR13)</f>
        <v/>
      </c>
      <c r="AS14" s="101">
        <f>SUM(AS6:AS13)</f>
        <v/>
      </c>
      <c r="AT14" s="101">
        <f>SUM(AT6:AT13)</f>
        <v/>
      </c>
      <c r="AU14" s="101">
        <f>SUM(AU6:AU13)</f>
        <v/>
      </c>
      <c r="AV14" s="101">
        <f>SUM(AV6:AV13)</f>
        <v/>
      </c>
      <c r="AW14" s="101">
        <f>SUM(AW6:AW13)</f>
        <v/>
      </c>
      <c r="AX14" s="101">
        <f>SUM(AX6:AX13)</f>
        <v/>
      </c>
      <c r="AY14" s="101">
        <f>SUM(AY6:AY13)</f>
        <v/>
      </c>
      <c r="AZ14" s="101">
        <f>SUM(AZ6:AZ13)</f>
        <v/>
      </c>
      <c r="BA14" s="101">
        <f>SUM(BA6:BA13)</f>
        <v/>
      </c>
      <c r="BB14" s="101">
        <f>SUM(BB6:BB13)</f>
        <v/>
      </c>
      <c r="BC14" s="101">
        <f>SUM(BC6:BC13)</f>
        <v/>
      </c>
      <c r="BD14" s="101">
        <f>SUM(BD6:BD13)</f>
        <v/>
      </c>
      <c r="BE14" s="101">
        <f>SUM(BE6:BE13)</f>
        <v/>
      </c>
      <c r="BF14" s="101">
        <f>SUM(BF6:BF13)</f>
        <v/>
      </c>
      <c r="BG14" s="101">
        <f>SUM(BG6:BG13)</f>
        <v/>
      </c>
      <c r="BH14" s="101">
        <f>SUM(BH6:BH13)</f>
        <v/>
      </c>
      <c r="BI14" s="101">
        <f>SUM(BI6:BI13)</f>
        <v/>
      </c>
      <c r="BJ14" s="101">
        <f>SUM(BJ6:BJ13)</f>
        <v/>
      </c>
      <c r="BK14" s="101">
        <f>SUM(BK6:BK13)</f>
        <v/>
      </c>
      <c r="BL14" s="101">
        <f>SUM(BL6:BL13)</f>
        <v/>
      </c>
      <c r="BM14" s="101">
        <f>SUM(BM6:BM13)</f>
        <v/>
      </c>
      <c r="BN14" s="101">
        <f>SUM(BN6:BN13)</f>
        <v/>
      </c>
      <c r="BO14" s="101">
        <f>SUM(BO6:BO13)</f>
        <v/>
      </c>
      <c r="BP14" s="101">
        <f>SUM(BP6:BP13)</f>
        <v/>
      </c>
      <c r="BQ14" s="101">
        <f>SUM(BQ6:BQ13)</f>
        <v/>
      </c>
      <c r="BR14" s="101">
        <f>SUM(BR6:BR13)</f>
        <v/>
      </c>
      <c r="BS14" s="101">
        <f>SUM(BS6:BS13)</f>
        <v/>
      </c>
      <c r="BT14" s="101">
        <f>SUM(BT6:BT13)</f>
        <v/>
      </c>
      <c r="BU14" s="101">
        <f>SUM(BU6:BU13)</f>
        <v/>
      </c>
      <c r="BV14" s="101">
        <f>SUM(BV6:BV13)</f>
        <v/>
      </c>
      <c r="BW14" s="101">
        <f>SUM(BW6:BW13)</f>
        <v/>
      </c>
      <c r="BY14" s="5" t="inlineStr">
        <is>
          <t>pti</t>
        </is>
      </c>
      <c r="BZ14" s="5" t="n">
        <v>36</v>
      </c>
    </row>
    <row r="15">
      <c r="BY15" s="5" t="inlineStr">
        <is>
          <t>tax</t>
        </is>
      </c>
      <c r="BZ15" s="5" t="n">
        <v>37</v>
      </c>
    </row>
    <row r="16">
      <c r="A16" s="97" t="inlineStr">
        <is>
          <t>COST OF SERVICE</t>
        </is>
      </c>
      <c r="BY16" s="5" t="inlineStr">
        <is>
          <t>ni</t>
        </is>
      </c>
      <c r="BZ16" s="5" t="n">
        <v>39</v>
      </c>
    </row>
    <row r="17">
      <c r="A17" t="inlineStr">
        <is>
          <t>CX COS</t>
        </is>
      </c>
      <c r="D17" s="103">
        <f>'CX Sales'!D24</f>
        <v/>
      </c>
      <c r="E17" s="103">
        <f>'CX Sales'!E24</f>
        <v/>
      </c>
      <c r="F17" s="103">
        <f>'CX Sales'!F24</f>
        <v/>
      </c>
      <c r="G17" s="103">
        <f>'CX Sales'!G24</f>
        <v/>
      </c>
      <c r="H17" s="103">
        <f>'CX Sales'!H24</f>
        <v/>
      </c>
      <c r="I17" s="103">
        <f>'CX Sales'!I24</f>
        <v/>
      </c>
      <c r="J17" s="103">
        <f>'CX Sales'!J24</f>
        <v/>
      </c>
      <c r="K17" s="103">
        <f>'CX Sales'!K24</f>
        <v/>
      </c>
      <c r="L17" s="103">
        <f>'CX Sales'!L24</f>
        <v/>
      </c>
      <c r="M17" s="103">
        <f>'CX Sales'!M24</f>
        <v/>
      </c>
      <c r="N17" s="103">
        <f>'CX Sales'!N24</f>
        <v/>
      </c>
      <c r="O17" s="103">
        <f>'CX Sales'!O24</f>
        <v/>
      </c>
      <c r="P17" s="103">
        <f>'CX Sales'!P24</f>
        <v/>
      </c>
      <c r="Q17" s="103">
        <f>'CX Sales'!Q24</f>
        <v/>
      </c>
      <c r="R17" s="103">
        <f>'CX Sales'!R24</f>
        <v/>
      </c>
      <c r="S17" s="103">
        <f>'CX Sales'!S24</f>
        <v/>
      </c>
      <c r="T17" s="103">
        <f>'CX Sales'!T24</f>
        <v/>
      </c>
      <c r="U17" s="103">
        <f>'CX Sales'!U24</f>
        <v/>
      </c>
      <c r="V17" s="103">
        <f>'CX Sales'!V24</f>
        <v/>
      </c>
      <c r="W17" s="103">
        <f>'CX Sales'!W24</f>
        <v/>
      </c>
      <c r="X17" s="103">
        <f>'CX Sales'!X24</f>
        <v/>
      </c>
      <c r="Y17" s="103">
        <f>'CX Sales'!Y24</f>
        <v/>
      </c>
      <c r="Z17" s="103">
        <f>'CX Sales'!Z24</f>
        <v/>
      </c>
      <c r="AA17" s="103">
        <f>'CX Sales'!AA24</f>
        <v/>
      </c>
      <c r="AB17" s="103">
        <f>'CX Sales'!AB24</f>
        <v/>
      </c>
      <c r="AC17" s="103">
        <f>'CX Sales'!AC24</f>
        <v/>
      </c>
      <c r="AD17" s="103">
        <f>'CX Sales'!AD24</f>
        <v/>
      </c>
      <c r="AE17" s="103">
        <f>'CX Sales'!AE24</f>
        <v/>
      </c>
      <c r="AF17" s="103">
        <f>'CX Sales'!AF24</f>
        <v/>
      </c>
      <c r="AG17" s="103">
        <f>'CX Sales'!AG24</f>
        <v/>
      </c>
      <c r="AH17" s="103">
        <f>'CX Sales'!AH24</f>
        <v/>
      </c>
      <c r="AI17" s="103">
        <f>'CX Sales'!AI24</f>
        <v/>
      </c>
      <c r="AJ17" s="103">
        <f>'CX Sales'!AJ24</f>
        <v/>
      </c>
      <c r="AK17" s="103">
        <f>'CX Sales'!AK24</f>
        <v/>
      </c>
      <c r="AL17" s="103">
        <f>'CX Sales'!AL24</f>
        <v/>
      </c>
      <c r="AM17" s="103">
        <f>'CX Sales'!AM24</f>
        <v/>
      </c>
      <c r="AN17" s="103">
        <f>'CX Sales'!AN24</f>
        <v/>
      </c>
      <c r="AO17" s="103">
        <f>'CX Sales'!AO24</f>
        <v/>
      </c>
      <c r="AP17" s="103">
        <f>'CX Sales'!AP24</f>
        <v/>
      </c>
      <c r="AQ17" s="103">
        <f>'CX Sales'!AQ24</f>
        <v/>
      </c>
      <c r="AR17" s="103">
        <f>'CX Sales'!AR24</f>
        <v/>
      </c>
      <c r="AS17" s="103">
        <f>'CX Sales'!AS24</f>
        <v/>
      </c>
      <c r="AT17" s="103">
        <f>'CX Sales'!AT24</f>
        <v/>
      </c>
      <c r="AU17" s="103">
        <f>'CX Sales'!AU24</f>
        <v/>
      </c>
      <c r="AV17" s="103">
        <f>'CX Sales'!AV24</f>
        <v/>
      </c>
      <c r="AW17" s="103">
        <f>'CX Sales'!AW24</f>
        <v/>
      </c>
      <c r="AX17" s="103">
        <f>'CX Sales'!AX24</f>
        <v/>
      </c>
      <c r="AY17" s="103">
        <f>'CX Sales'!AY24</f>
        <v/>
      </c>
      <c r="AZ17" s="103">
        <f>'CX Sales'!AZ24</f>
        <v/>
      </c>
      <c r="BA17" s="103">
        <f>'CX Sales'!BA24</f>
        <v/>
      </c>
      <c r="BB17" s="103">
        <f>'CX Sales'!BB24</f>
        <v/>
      </c>
      <c r="BC17" s="103">
        <f>'CX Sales'!BC24</f>
        <v/>
      </c>
      <c r="BD17" s="103">
        <f>'CX Sales'!BD24</f>
        <v/>
      </c>
      <c r="BE17" s="103">
        <f>'CX Sales'!BE24</f>
        <v/>
      </c>
      <c r="BF17" s="103">
        <f>'CX Sales'!BF24</f>
        <v/>
      </c>
      <c r="BG17" s="103">
        <f>'CX Sales'!BG24</f>
        <v/>
      </c>
      <c r="BH17" s="103">
        <f>'CX Sales'!BH24</f>
        <v/>
      </c>
      <c r="BI17" s="103">
        <f>'CX Sales'!BI24</f>
        <v/>
      </c>
      <c r="BJ17" s="103">
        <f>'CX Sales'!BJ24</f>
        <v/>
      </c>
      <c r="BK17" s="103">
        <f>'CX Sales'!BK24</f>
        <v/>
      </c>
      <c r="BL17" s="103">
        <f>'CX Sales'!BL24</f>
        <v/>
      </c>
      <c r="BM17" s="103">
        <f>'CX Sales'!BM24</f>
        <v/>
      </c>
      <c r="BN17" s="103">
        <f>'CX Sales'!BN24</f>
        <v/>
      </c>
      <c r="BO17" s="103">
        <f>'CX Sales'!BO24</f>
        <v/>
      </c>
      <c r="BP17" s="103">
        <f>'CX Sales'!BP24</f>
        <v/>
      </c>
      <c r="BQ17" s="103">
        <f>'CX Sales'!BQ24</f>
        <v/>
      </c>
      <c r="BR17" s="103">
        <f>'CX Sales'!BR24</f>
        <v/>
      </c>
      <c r="BS17" s="103">
        <f>'CX Sales'!BS24</f>
        <v/>
      </c>
      <c r="BT17" s="103">
        <f>'CX Sales'!BT24</f>
        <v/>
      </c>
      <c r="BU17" s="103">
        <f>'CX Sales'!BU24</f>
        <v/>
      </c>
      <c r="BV17" s="103">
        <f>'CX Sales'!BV24</f>
        <v/>
      </c>
      <c r="BW17" s="103">
        <f>'CX Sales'!BW24</f>
        <v/>
      </c>
    </row>
    <row r="18">
      <c r="A18" t="inlineStr">
        <is>
          <t>ASD COS</t>
        </is>
      </c>
      <c r="D18" s="103">
        <f>'ASD Sales'!D24</f>
        <v/>
      </c>
      <c r="E18" s="103">
        <f>'ASD Sales'!E24</f>
        <v/>
      </c>
      <c r="F18" s="103">
        <f>'ASD Sales'!F24</f>
        <v/>
      </c>
      <c r="G18" s="103">
        <f>'ASD Sales'!G24</f>
        <v/>
      </c>
      <c r="H18" s="103">
        <f>'ASD Sales'!H24</f>
        <v/>
      </c>
      <c r="I18" s="103">
        <f>'ASD Sales'!I24</f>
        <v/>
      </c>
      <c r="J18" s="103">
        <f>'ASD Sales'!J24</f>
        <v/>
      </c>
      <c r="K18" s="103">
        <f>'ASD Sales'!K24</f>
        <v/>
      </c>
      <c r="L18" s="103">
        <f>'ASD Sales'!L24</f>
        <v/>
      </c>
      <c r="M18" s="103">
        <f>'ASD Sales'!M24</f>
        <v/>
      </c>
      <c r="N18" s="103">
        <f>'ASD Sales'!N24</f>
        <v/>
      </c>
      <c r="O18" s="103">
        <f>'ASD Sales'!O24</f>
        <v/>
      </c>
      <c r="P18" s="103">
        <f>'ASD Sales'!P24</f>
        <v/>
      </c>
      <c r="Q18" s="103">
        <f>'ASD Sales'!Q24</f>
        <v/>
      </c>
      <c r="R18" s="103">
        <f>'ASD Sales'!R24</f>
        <v/>
      </c>
      <c r="S18" s="103">
        <f>'ASD Sales'!S24</f>
        <v/>
      </c>
      <c r="T18" s="103">
        <f>'ASD Sales'!T24</f>
        <v/>
      </c>
      <c r="U18" s="103">
        <f>'ASD Sales'!U24</f>
        <v/>
      </c>
      <c r="V18" s="103">
        <f>'ASD Sales'!V24</f>
        <v/>
      </c>
      <c r="W18" s="103">
        <f>'ASD Sales'!W24</f>
        <v/>
      </c>
      <c r="X18" s="103">
        <f>'ASD Sales'!X24</f>
        <v/>
      </c>
      <c r="Y18" s="103">
        <f>'ASD Sales'!Y24</f>
        <v/>
      </c>
      <c r="Z18" s="103">
        <f>'ASD Sales'!Z24</f>
        <v/>
      </c>
      <c r="AA18" s="103">
        <f>'ASD Sales'!AA24</f>
        <v/>
      </c>
      <c r="AB18" s="103">
        <f>'ASD Sales'!AB24</f>
        <v/>
      </c>
      <c r="AC18" s="103">
        <f>'ASD Sales'!AC24</f>
        <v/>
      </c>
      <c r="AD18" s="103">
        <f>'ASD Sales'!AD24</f>
        <v/>
      </c>
      <c r="AE18" s="103">
        <f>'ASD Sales'!AE24</f>
        <v/>
      </c>
      <c r="AF18" s="103">
        <f>'ASD Sales'!AF24</f>
        <v/>
      </c>
      <c r="AG18" s="103">
        <f>'ASD Sales'!AG24</f>
        <v/>
      </c>
      <c r="AH18" s="103">
        <f>'ASD Sales'!AH24</f>
        <v/>
      </c>
      <c r="AI18" s="103">
        <f>'ASD Sales'!AI24</f>
        <v/>
      </c>
      <c r="AJ18" s="103">
        <f>'ASD Sales'!AJ24</f>
        <v/>
      </c>
      <c r="AK18" s="103">
        <f>'ASD Sales'!AK24</f>
        <v/>
      </c>
      <c r="AL18" s="103">
        <f>'ASD Sales'!AL24</f>
        <v/>
      </c>
      <c r="AM18" s="103">
        <f>'ASD Sales'!AM24</f>
        <v/>
      </c>
      <c r="AN18" s="103">
        <f>'ASD Sales'!AN24</f>
        <v/>
      </c>
      <c r="AO18" s="103">
        <f>'ASD Sales'!AO24</f>
        <v/>
      </c>
      <c r="AP18" s="103">
        <f>'ASD Sales'!AP24</f>
        <v/>
      </c>
      <c r="AQ18" s="103">
        <f>'ASD Sales'!AQ24</f>
        <v/>
      </c>
      <c r="AR18" s="103">
        <f>'ASD Sales'!AR24</f>
        <v/>
      </c>
      <c r="AS18" s="103">
        <f>'ASD Sales'!AS24</f>
        <v/>
      </c>
      <c r="AT18" s="103">
        <f>'ASD Sales'!AT24</f>
        <v/>
      </c>
      <c r="AU18" s="103">
        <f>'ASD Sales'!AU24</f>
        <v/>
      </c>
      <c r="AV18" s="103">
        <f>'ASD Sales'!AV24</f>
        <v/>
      </c>
      <c r="AW18" s="103">
        <f>'ASD Sales'!AW24</f>
        <v/>
      </c>
      <c r="AX18" s="103">
        <f>'ASD Sales'!AX24</f>
        <v/>
      </c>
      <c r="AY18" s="103">
        <f>'ASD Sales'!AY24</f>
        <v/>
      </c>
      <c r="AZ18" s="103">
        <f>'ASD Sales'!AZ24</f>
        <v/>
      </c>
      <c r="BA18" s="103">
        <f>'ASD Sales'!BA24</f>
        <v/>
      </c>
      <c r="BB18" s="103">
        <f>'ASD Sales'!BB24</f>
        <v/>
      </c>
      <c r="BC18" s="103">
        <f>'ASD Sales'!BC24</f>
        <v/>
      </c>
      <c r="BD18" s="103">
        <f>'ASD Sales'!BD24</f>
        <v/>
      </c>
      <c r="BE18" s="103">
        <f>'ASD Sales'!BE24</f>
        <v/>
      </c>
      <c r="BF18" s="103">
        <f>'ASD Sales'!BF24</f>
        <v/>
      </c>
      <c r="BG18" s="103">
        <f>'ASD Sales'!BG24</f>
        <v/>
      </c>
      <c r="BH18" s="103">
        <f>'ASD Sales'!BH24</f>
        <v/>
      </c>
      <c r="BI18" s="103">
        <f>'ASD Sales'!BI24</f>
        <v/>
      </c>
      <c r="BJ18" s="103">
        <f>'ASD Sales'!BJ24</f>
        <v/>
      </c>
      <c r="BK18" s="103">
        <f>'ASD Sales'!BK24</f>
        <v/>
      </c>
      <c r="BL18" s="103">
        <f>'ASD Sales'!BL24</f>
        <v/>
      </c>
      <c r="BM18" s="103">
        <f>'ASD Sales'!BM24</f>
        <v/>
      </c>
      <c r="BN18" s="103">
        <f>'ASD Sales'!BN24</f>
        <v/>
      </c>
      <c r="BO18" s="103">
        <f>'ASD Sales'!BO24</f>
        <v/>
      </c>
      <c r="BP18" s="103">
        <f>'ASD Sales'!BP24</f>
        <v/>
      </c>
      <c r="BQ18" s="103">
        <f>'ASD Sales'!BQ24</f>
        <v/>
      </c>
      <c r="BR18" s="103">
        <f>'ASD Sales'!BR24</f>
        <v/>
      </c>
      <c r="BS18" s="103">
        <f>'ASD Sales'!BS24</f>
        <v/>
      </c>
      <c r="BT18" s="103">
        <f>'ASD Sales'!BT24</f>
        <v/>
      </c>
      <c r="BU18" s="103">
        <f>'ASD Sales'!BU24</f>
        <v/>
      </c>
      <c r="BV18" s="103">
        <f>'ASD Sales'!BV24</f>
        <v/>
      </c>
      <c r="BW18" s="103">
        <f>'ASD Sales'!BW24</f>
        <v/>
      </c>
    </row>
    <row r="19">
      <c r="A19" t="inlineStr">
        <is>
          <t>Home COS</t>
        </is>
      </c>
      <c r="D19" s="103">
        <f>'Home Sales'!D24</f>
        <v/>
      </c>
      <c r="E19" s="103">
        <f>'Home Sales'!E24</f>
        <v/>
      </c>
      <c r="F19" s="103">
        <f>'Home Sales'!F24</f>
        <v/>
      </c>
      <c r="G19" s="103">
        <f>'Home Sales'!G24</f>
        <v/>
      </c>
      <c r="H19" s="103">
        <f>'Home Sales'!H24</f>
        <v/>
      </c>
      <c r="I19" s="103">
        <f>'Home Sales'!I24</f>
        <v/>
      </c>
      <c r="J19" s="103">
        <f>'Home Sales'!J24</f>
        <v/>
      </c>
      <c r="K19" s="103">
        <f>'Home Sales'!K24</f>
        <v/>
      </c>
      <c r="L19" s="103">
        <f>'Home Sales'!L24</f>
        <v/>
      </c>
      <c r="M19" s="103">
        <f>'Home Sales'!M24</f>
        <v/>
      </c>
      <c r="N19" s="103">
        <f>'Home Sales'!N24</f>
        <v/>
      </c>
      <c r="O19" s="103">
        <f>'Home Sales'!O24</f>
        <v/>
      </c>
      <c r="P19" s="103">
        <f>'Home Sales'!P24</f>
        <v/>
      </c>
      <c r="Q19" s="103">
        <f>'Home Sales'!Q24</f>
        <v/>
      </c>
      <c r="R19" s="103">
        <f>'Home Sales'!R24</f>
        <v/>
      </c>
      <c r="S19" s="103">
        <f>'Home Sales'!S24</f>
        <v/>
      </c>
      <c r="T19" s="103">
        <f>'Home Sales'!T24</f>
        <v/>
      </c>
      <c r="U19" s="103">
        <f>'Home Sales'!U24</f>
        <v/>
      </c>
      <c r="V19" s="103">
        <f>'Home Sales'!V24</f>
        <v/>
      </c>
      <c r="W19" s="103">
        <f>'Home Sales'!W24</f>
        <v/>
      </c>
      <c r="X19" s="103">
        <f>'Home Sales'!X24</f>
        <v/>
      </c>
      <c r="Y19" s="103">
        <f>'Home Sales'!Y24</f>
        <v/>
      </c>
      <c r="Z19" s="103">
        <f>'Home Sales'!Z24</f>
        <v/>
      </c>
      <c r="AA19" s="103">
        <f>'Home Sales'!AA24</f>
        <v/>
      </c>
      <c r="AB19" s="103">
        <f>'Home Sales'!AB24</f>
        <v/>
      </c>
      <c r="AC19" s="103">
        <f>'Home Sales'!AC24</f>
        <v/>
      </c>
      <c r="AD19" s="103">
        <f>'Home Sales'!AD24</f>
        <v/>
      </c>
      <c r="AE19" s="103">
        <f>'Home Sales'!AE24</f>
        <v/>
      </c>
      <c r="AF19" s="103">
        <f>'Home Sales'!AF24</f>
        <v/>
      </c>
      <c r="AG19" s="103">
        <f>'Home Sales'!AG24</f>
        <v/>
      </c>
      <c r="AH19" s="103">
        <f>'Home Sales'!AH24</f>
        <v/>
      </c>
      <c r="AI19" s="103">
        <f>'Home Sales'!AI24</f>
        <v/>
      </c>
      <c r="AJ19" s="103">
        <f>'Home Sales'!AJ24</f>
        <v/>
      </c>
      <c r="AK19" s="103">
        <f>'Home Sales'!AK24</f>
        <v/>
      </c>
      <c r="AL19" s="103">
        <f>'Home Sales'!AL24</f>
        <v/>
      </c>
      <c r="AM19" s="103">
        <f>'Home Sales'!AM24</f>
        <v/>
      </c>
      <c r="AN19" s="103">
        <f>'Home Sales'!AN24</f>
        <v/>
      </c>
      <c r="AO19" s="103">
        <f>'Home Sales'!AO24</f>
        <v/>
      </c>
      <c r="AP19" s="103">
        <f>'Home Sales'!AP24</f>
        <v/>
      </c>
      <c r="AQ19" s="103">
        <f>'Home Sales'!AQ24</f>
        <v/>
      </c>
      <c r="AR19" s="103">
        <f>'Home Sales'!AR24</f>
        <v/>
      </c>
      <c r="AS19" s="103">
        <f>'Home Sales'!AS24</f>
        <v/>
      </c>
      <c r="AT19" s="103">
        <f>'Home Sales'!AT24</f>
        <v/>
      </c>
      <c r="AU19" s="103">
        <f>'Home Sales'!AU24</f>
        <v/>
      </c>
      <c r="AV19" s="103">
        <f>'Home Sales'!AV24</f>
        <v/>
      </c>
      <c r="AW19" s="103">
        <f>'Home Sales'!AW24</f>
        <v/>
      </c>
      <c r="AX19" s="103">
        <f>'Home Sales'!AX24</f>
        <v/>
      </c>
      <c r="AY19" s="103">
        <f>'Home Sales'!AY24</f>
        <v/>
      </c>
      <c r="AZ19" s="103">
        <f>'Home Sales'!AZ24</f>
        <v/>
      </c>
      <c r="BA19" s="103">
        <f>'Home Sales'!BA24</f>
        <v/>
      </c>
      <c r="BB19" s="103">
        <f>'Home Sales'!BB24</f>
        <v/>
      </c>
      <c r="BC19" s="103">
        <f>'Home Sales'!BC24</f>
        <v/>
      </c>
      <c r="BD19" s="103">
        <f>'Home Sales'!BD24</f>
        <v/>
      </c>
      <c r="BE19" s="103">
        <f>'Home Sales'!BE24</f>
        <v/>
      </c>
      <c r="BF19" s="103">
        <f>'Home Sales'!BF24</f>
        <v/>
      </c>
      <c r="BG19" s="103">
        <f>'Home Sales'!BG24</f>
        <v/>
      </c>
      <c r="BH19" s="103">
        <f>'Home Sales'!BH24</f>
        <v/>
      </c>
      <c r="BI19" s="103">
        <f>'Home Sales'!BI24</f>
        <v/>
      </c>
      <c r="BJ19" s="103">
        <f>'Home Sales'!BJ24</f>
        <v/>
      </c>
      <c r="BK19" s="103">
        <f>'Home Sales'!BK24</f>
        <v/>
      </c>
      <c r="BL19" s="103">
        <f>'Home Sales'!BL24</f>
        <v/>
      </c>
      <c r="BM19" s="103">
        <f>'Home Sales'!BM24</f>
        <v/>
      </c>
      <c r="BN19" s="103">
        <f>'Home Sales'!BN24</f>
        <v/>
      </c>
      <c r="BO19" s="103">
        <f>'Home Sales'!BO24</f>
        <v/>
      </c>
      <c r="BP19" s="103">
        <f>'Home Sales'!BP24</f>
        <v/>
      </c>
      <c r="BQ19" s="103">
        <f>'Home Sales'!BQ24</f>
        <v/>
      </c>
      <c r="BR19" s="103">
        <f>'Home Sales'!BR24</f>
        <v/>
      </c>
      <c r="BS19" s="103">
        <f>'Home Sales'!BS24</f>
        <v/>
      </c>
      <c r="BT19" s="103">
        <f>'Home Sales'!BT24</f>
        <v/>
      </c>
      <c r="BU19" s="103">
        <f>'Home Sales'!BU24</f>
        <v/>
      </c>
      <c r="BV19" s="103">
        <f>'Home Sales'!BV24</f>
        <v/>
      </c>
      <c r="BW19" s="103">
        <f>'Home Sales'!BW24</f>
        <v/>
      </c>
    </row>
    <row r="20">
      <c r="A20" t="inlineStr">
        <is>
          <t>Producer COS</t>
        </is>
      </c>
      <c r="D20" s="103">
        <f>'Producer Sales'!D24</f>
        <v/>
      </c>
      <c r="E20" s="103">
        <f>'Producer Sales'!E24</f>
        <v/>
      </c>
      <c r="F20" s="103">
        <f>'Producer Sales'!F24</f>
        <v/>
      </c>
      <c r="G20" s="103">
        <f>'Producer Sales'!G24</f>
        <v/>
      </c>
      <c r="H20" s="103">
        <f>'Producer Sales'!H24</f>
        <v/>
      </c>
      <c r="I20" s="103">
        <f>'Producer Sales'!I24</f>
        <v/>
      </c>
      <c r="J20" s="103">
        <f>'Producer Sales'!J24</f>
        <v/>
      </c>
      <c r="K20" s="103">
        <f>'Producer Sales'!K24</f>
        <v/>
      </c>
      <c r="L20" s="103">
        <f>'Producer Sales'!L24</f>
        <v/>
      </c>
      <c r="M20" s="103">
        <f>'Producer Sales'!M24</f>
        <v/>
      </c>
      <c r="N20" s="103">
        <f>'Producer Sales'!N24</f>
        <v/>
      </c>
      <c r="O20" s="103">
        <f>'Producer Sales'!O24</f>
        <v/>
      </c>
      <c r="P20" s="103">
        <f>'Producer Sales'!P24</f>
        <v/>
      </c>
      <c r="Q20" s="103">
        <f>'Producer Sales'!Q24</f>
        <v/>
      </c>
      <c r="R20" s="103">
        <f>'Producer Sales'!R24</f>
        <v/>
      </c>
      <c r="S20" s="103">
        <f>'Producer Sales'!S24</f>
        <v/>
      </c>
      <c r="T20" s="103">
        <f>'Producer Sales'!T24</f>
        <v/>
      </c>
      <c r="U20" s="103">
        <f>'Producer Sales'!U24</f>
        <v/>
      </c>
      <c r="V20" s="103">
        <f>'Producer Sales'!V24</f>
        <v/>
      </c>
      <c r="W20" s="103">
        <f>'Producer Sales'!W24</f>
        <v/>
      </c>
      <c r="X20" s="103">
        <f>'Producer Sales'!X24</f>
        <v/>
      </c>
      <c r="Y20" s="103">
        <f>'Producer Sales'!Y24</f>
        <v/>
      </c>
      <c r="Z20" s="103">
        <f>'Producer Sales'!Z24</f>
        <v/>
      </c>
      <c r="AA20" s="103">
        <f>'Producer Sales'!AA24</f>
        <v/>
      </c>
      <c r="AB20" s="103">
        <f>'Producer Sales'!AB24</f>
        <v/>
      </c>
      <c r="AC20" s="103">
        <f>'Producer Sales'!AC24</f>
        <v/>
      </c>
      <c r="AD20" s="103">
        <f>'Producer Sales'!AD24</f>
        <v/>
      </c>
      <c r="AE20" s="103">
        <f>'Producer Sales'!AE24</f>
        <v/>
      </c>
      <c r="AF20" s="103">
        <f>'Producer Sales'!AF24</f>
        <v/>
      </c>
      <c r="AG20" s="103">
        <f>'Producer Sales'!AG24</f>
        <v/>
      </c>
      <c r="AH20" s="103">
        <f>'Producer Sales'!AH24</f>
        <v/>
      </c>
      <c r="AI20" s="103">
        <f>'Producer Sales'!AI24</f>
        <v/>
      </c>
      <c r="AJ20" s="103">
        <f>'Producer Sales'!AJ24</f>
        <v/>
      </c>
      <c r="AK20" s="103">
        <f>'Producer Sales'!AK24</f>
        <v/>
      </c>
      <c r="AL20" s="103">
        <f>'Producer Sales'!AL24</f>
        <v/>
      </c>
      <c r="AM20" s="103">
        <f>'Producer Sales'!AM24</f>
        <v/>
      </c>
      <c r="AN20" s="103">
        <f>'Producer Sales'!AN24</f>
        <v/>
      </c>
      <c r="AO20" s="103">
        <f>'Producer Sales'!AO24</f>
        <v/>
      </c>
      <c r="AP20" s="103">
        <f>'Producer Sales'!AP24</f>
        <v/>
      </c>
      <c r="AQ20" s="103">
        <f>'Producer Sales'!AQ24</f>
        <v/>
      </c>
      <c r="AR20" s="103">
        <f>'Producer Sales'!AR24</f>
        <v/>
      </c>
      <c r="AS20" s="103">
        <f>'Producer Sales'!AS24</f>
        <v/>
      </c>
      <c r="AT20" s="103">
        <f>'Producer Sales'!AT24</f>
        <v/>
      </c>
      <c r="AU20" s="103">
        <f>'Producer Sales'!AU24</f>
        <v/>
      </c>
      <c r="AV20" s="103">
        <f>'Producer Sales'!AV24</f>
        <v/>
      </c>
      <c r="AW20" s="103">
        <f>'Producer Sales'!AW24</f>
        <v/>
      </c>
      <c r="AX20" s="103">
        <f>'Producer Sales'!AX24</f>
        <v/>
      </c>
      <c r="AY20" s="103">
        <f>'Producer Sales'!AY24</f>
        <v/>
      </c>
      <c r="AZ20" s="103">
        <f>'Producer Sales'!AZ24</f>
        <v/>
      </c>
      <c r="BA20" s="103">
        <f>'Producer Sales'!BA24</f>
        <v/>
      </c>
      <c r="BB20" s="103">
        <f>'Producer Sales'!BB24</f>
        <v/>
      </c>
      <c r="BC20" s="103">
        <f>'Producer Sales'!BC24</f>
        <v/>
      </c>
      <c r="BD20" s="103">
        <f>'Producer Sales'!BD24</f>
        <v/>
      </c>
      <c r="BE20" s="103">
        <f>'Producer Sales'!BE24</f>
        <v/>
      </c>
      <c r="BF20" s="103">
        <f>'Producer Sales'!BF24</f>
        <v/>
      </c>
      <c r="BG20" s="103">
        <f>'Producer Sales'!BG24</f>
        <v/>
      </c>
      <c r="BH20" s="103">
        <f>'Producer Sales'!BH24</f>
        <v/>
      </c>
      <c r="BI20" s="103">
        <f>'Producer Sales'!BI24</f>
        <v/>
      </c>
      <c r="BJ20" s="103">
        <f>'Producer Sales'!BJ24</f>
        <v/>
      </c>
      <c r="BK20" s="103">
        <f>'Producer Sales'!BK24</f>
        <v/>
      </c>
      <c r="BL20" s="103">
        <f>'Producer Sales'!BL24</f>
        <v/>
      </c>
      <c r="BM20" s="103">
        <f>'Producer Sales'!BM24</f>
        <v/>
      </c>
      <c r="BN20" s="103">
        <f>'Producer Sales'!BN24</f>
        <v/>
      </c>
      <c r="BO20" s="103">
        <f>'Producer Sales'!BO24</f>
        <v/>
      </c>
      <c r="BP20" s="103">
        <f>'Producer Sales'!BP24</f>
        <v/>
      </c>
      <c r="BQ20" s="103">
        <f>'Producer Sales'!BQ24</f>
        <v/>
      </c>
      <c r="BR20" s="103">
        <f>'Producer Sales'!BR24</f>
        <v/>
      </c>
      <c r="BS20" s="103">
        <f>'Producer Sales'!BS24</f>
        <v/>
      </c>
      <c r="BT20" s="103">
        <f>'Producer Sales'!BT24</f>
        <v/>
      </c>
      <c r="BU20" s="103">
        <f>'Producer Sales'!BU24</f>
        <v/>
      </c>
      <c r="BV20" s="103">
        <f>'Producer Sales'!BV24</f>
        <v/>
      </c>
      <c r="BW20" s="103">
        <f>'Producer Sales'!BW24</f>
        <v/>
      </c>
    </row>
    <row r="22">
      <c r="A22" s="1" t="inlineStr">
        <is>
          <t>Total COS</t>
        </is>
      </c>
      <c r="D22" s="101">
        <f>SUM(D17:D21)</f>
        <v/>
      </c>
      <c r="E22" s="101">
        <f>SUM(E17:E21)</f>
        <v/>
      </c>
      <c r="F22" s="101">
        <f>SUM(F17:F21)</f>
        <v/>
      </c>
      <c r="G22" s="101">
        <f>SUM(G17:G21)</f>
        <v/>
      </c>
      <c r="H22" s="101">
        <f>SUM(H17:H21)</f>
        <v/>
      </c>
      <c r="I22" s="101">
        <f>SUM(I17:I21)</f>
        <v/>
      </c>
      <c r="J22" s="101">
        <f>SUM(J17:J21)</f>
        <v/>
      </c>
      <c r="K22" s="101">
        <f>SUM(K17:K21)</f>
        <v/>
      </c>
      <c r="L22" s="101">
        <f>SUM(L17:L21)</f>
        <v/>
      </c>
      <c r="M22" s="101">
        <f>SUM(M17:M21)</f>
        <v/>
      </c>
      <c r="N22" s="101">
        <f>SUM(N17:N21)</f>
        <v/>
      </c>
      <c r="O22" s="101">
        <f>SUM(O17:O21)</f>
        <v/>
      </c>
      <c r="P22" s="101">
        <f>SUM(P17:P21)</f>
        <v/>
      </c>
      <c r="Q22" s="101">
        <f>SUM(Q17:Q21)</f>
        <v/>
      </c>
      <c r="R22" s="101">
        <f>SUM(R17:R21)</f>
        <v/>
      </c>
      <c r="S22" s="101">
        <f>SUM(S17:S21)</f>
        <v/>
      </c>
      <c r="T22" s="101">
        <f>SUM(T17:T21)</f>
        <v/>
      </c>
      <c r="U22" s="101">
        <f>SUM(U17:U21)</f>
        <v/>
      </c>
      <c r="V22" s="101">
        <f>SUM(V17:V21)</f>
        <v/>
      </c>
      <c r="W22" s="101">
        <f>SUM(W17:W21)</f>
        <v/>
      </c>
      <c r="X22" s="101">
        <f>SUM(X17:X21)</f>
        <v/>
      </c>
      <c r="Y22" s="101">
        <f>SUM(Y17:Y21)</f>
        <v/>
      </c>
      <c r="Z22" s="101">
        <f>SUM(Z17:Z21)</f>
        <v/>
      </c>
      <c r="AA22" s="101">
        <f>SUM(AA17:AA21)</f>
        <v/>
      </c>
      <c r="AB22" s="101">
        <f>SUM(AB17:AB21)</f>
        <v/>
      </c>
      <c r="AC22" s="101">
        <f>SUM(AC17:AC21)</f>
        <v/>
      </c>
      <c r="AD22" s="101">
        <f>SUM(AD17:AD21)</f>
        <v/>
      </c>
      <c r="AE22" s="101">
        <f>SUM(AE17:AE21)</f>
        <v/>
      </c>
      <c r="AF22" s="101">
        <f>SUM(AF17:AF21)</f>
        <v/>
      </c>
      <c r="AG22" s="101">
        <f>SUM(AG17:AG21)</f>
        <v/>
      </c>
      <c r="AH22" s="101">
        <f>SUM(AH17:AH21)</f>
        <v/>
      </c>
      <c r="AI22" s="101">
        <f>SUM(AI17:AI21)</f>
        <v/>
      </c>
      <c r="AJ22" s="101">
        <f>SUM(AJ17:AJ21)</f>
        <v/>
      </c>
      <c r="AK22" s="101">
        <f>SUM(AK17:AK21)</f>
        <v/>
      </c>
      <c r="AL22" s="101">
        <f>SUM(AL17:AL21)</f>
        <v/>
      </c>
      <c r="AM22" s="101">
        <f>SUM(AM17:AM21)</f>
        <v/>
      </c>
      <c r="AN22" s="101">
        <f>SUM(AN17:AN21)</f>
        <v/>
      </c>
      <c r="AO22" s="101">
        <f>SUM(AO17:AO21)</f>
        <v/>
      </c>
      <c r="AP22" s="101">
        <f>SUM(AP17:AP21)</f>
        <v/>
      </c>
      <c r="AQ22" s="101">
        <f>SUM(AQ17:AQ21)</f>
        <v/>
      </c>
      <c r="AR22" s="101">
        <f>SUM(AR17:AR21)</f>
        <v/>
      </c>
      <c r="AS22" s="101">
        <f>SUM(AS17:AS21)</f>
        <v/>
      </c>
      <c r="AT22" s="101">
        <f>SUM(AT17:AT21)</f>
        <v/>
      </c>
      <c r="AU22" s="101">
        <f>SUM(AU17:AU21)</f>
        <v/>
      </c>
      <c r="AV22" s="101">
        <f>SUM(AV17:AV21)</f>
        <v/>
      </c>
      <c r="AW22" s="101">
        <f>SUM(AW17:AW21)</f>
        <v/>
      </c>
      <c r="AX22" s="101">
        <f>SUM(AX17:AX21)</f>
        <v/>
      </c>
      <c r="AY22" s="101">
        <f>SUM(AY17:AY21)</f>
        <v/>
      </c>
      <c r="AZ22" s="101">
        <f>SUM(AZ17:AZ21)</f>
        <v/>
      </c>
      <c r="BA22" s="101">
        <f>SUM(BA17:BA21)</f>
        <v/>
      </c>
      <c r="BB22" s="101">
        <f>SUM(BB17:BB21)</f>
        <v/>
      </c>
      <c r="BC22" s="101">
        <f>SUM(BC17:BC21)</f>
        <v/>
      </c>
      <c r="BD22" s="101">
        <f>SUM(BD17:BD21)</f>
        <v/>
      </c>
      <c r="BE22" s="101">
        <f>SUM(BE17:BE21)</f>
        <v/>
      </c>
      <c r="BF22" s="101">
        <f>SUM(BF17:BF21)</f>
        <v/>
      </c>
      <c r="BG22" s="101">
        <f>SUM(BG17:BG21)</f>
        <v/>
      </c>
      <c r="BH22" s="101">
        <f>SUM(BH17:BH21)</f>
        <v/>
      </c>
      <c r="BI22" s="101">
        <f>SUM(BI17:BI21)</f>
        <v/>
      </c>
      <c r="BJ22" s="101">
        <f>SUM(BJ17:BJ21)</f>
        <v/>
      </c>
      <c r="BK22" s="101">
        <f>SUM(BK17:BK21)</f>
        <v/>
      </c>
      <c r="BL22" s="101">
        <f>SUM(BL17:BL21)</f>
        <v/>
      </c>
      <c r="BM22" s="101">
        <f>SUM(BM17:BM21)</f>
        <v/>
      </c>
      <c r="BN22" s="101">
        <f>SUM(BN17:BN21)</f>
        <v/>
      </c>
      <c r="BO22" s="101">
        <f>SUM(BO17:BO21)</f>
        <v/>
      </c>
      <c r="BP22" s="101">
        <f>SUM(BP17:BP21)</f>
        <v/>
      </c>
      <c r="BQ22" s="101">
        <f>SUM(BQ17:BQ21)</f>
        <v/>
      </c>
      <c r="BR22" s="101">
        <f>SUM(BR17:BR21)</f>
        <v/>
      </c>
      <c r="BS22" s="101">
        <f>SUM(BS17:BS21)</f>
        <v/>
      </c>
      <c r="BT22" s="101">
        <f>SUM(BT17:BT21)</f>
        <v/>
      </c>
      <c r="BU22" s="101">
        <f>SUM(BU17:BU21)</f>
        <v/>
      </c>
      <c r="BV22" s="101">
        <f>SUM(BV17:BV21)</f>
        <v/>
      </c>
      <c r="BW22" s="101">
        <f>SUM(BW17:BW21)</f>
        <v/>
      </c>
    </row>
    <row r="24">
      <c r="A24" s="1" t="inlineStr">
        <is>
          <t>Gross profit</t>
        </is>
      </c>
      <c r="D24" s="101">
        <f>D14-D22</f>
        <v/>
      </c>
      <c r="E24" s="101">
        <f>E14-E22</f>
        <v/>
      </c>
      <c r="F24" s="101">
        <f>F14-F22</f>
        <v/>
      </c>
      <c r="G24" s="101">
        <f>G14-G22</f>
        <v/>
      </c>
      <c r="H24" s="101">
        <f>H14-H22</f>
        <v/>
      </c>
      <c r="I24" s="101">
        <f>I14-I22</f>
        <v/>
      </c>
      <c r="J24" s="101">
        <f>J14-J22</f>
        <v/>
      </c>
      <c r="K24" s="101">
        <f>K14-K22</f>
        <v/>
      </c>
      <c r="L24" s="101">
        <f>L14-L22</f>
        <v/>
      </c>
      <c r="M24" s="101">
        <f>M14-M22</f>
        <v/>
      </c>
      <c r="N24" s="101">
        <f>N14-N22</f>
        <v/>
      </c>
      <c r="O24" s="101">
        <f>O14-O22</f>
        <v/>
      </c>
      <c r="P24" s="101">
        <f>P14-P22</f>
        <v/>
      </c>
      <c r="Q24" s="101">
        <f>Q14-Q22</f>
        <v/>
      </c>
      <c r="R24" s="101">
        <f>R14-R22</f>
        <v/>
      </c>
      <c r="S24" s="101">
        <f>S14-S22</f>
        <v/>
      </c>
      <c r="T24" s="101">
        <f>T14-T22</f>
        <v/>
      </c>
      <c r="U24" s="101">
        <f>U14-U22</f>
        <v/>
      </c>
      <c r="V24" s="101">
        <f>V14-V22</f>
        <v/>
      </c>
      <c r="W24" s="101">
        <f>W14-W22</f>
        <v/>
      </c>
      <c r="X24" s="101">
        <f>X14-X22</f>
        <v/>
      </c>
      <c r="Y24" s="101">
        <f>Y14-Y22</f>
        <v/>
      </c>
      <c r="Z24" s="101">
        <f>Z14-Z22</f>
        <v/>
      </c>
      <c r="AA24" s="101">
        <f>AA14-AA22</f>
        <v/>
      </c>
      <c r="AB24" s="101">
        <f>AB14-AB22</f>
        <v/>
      </c>
      <c r="AC24" s="101">
        <f>AC14-AC22</f>
        <v/>
      </c>
      <c r="AD24" s="101">
        <f>AD14-AD22</f>
        <v/>
      </c>
      <c r="AE24" s="101">
        <f>AE14-AE22</f>
        <v/>
      </c>
      <c r="AF24" s="101">
        <f>AF14-AF22</f>
        <v/>
      </c>
      <c r="AG24" s="101">
        <f>AG14-AG22</f>
        <v/>
      </c>
      <c r="AH24" s="101">
        <f>AH14-AH22</f>
        <v/>
      </c>
      <c r="AI24" s="101">
        <f>AI14-AI22</f>
        <v/>
      </c>
      <c r="AJ24" s="101">
        <f>AJ14-AJ22</f>
        <v/>
      </c>
      <c r="AK24" s="101">
        <f>AK14-AK22</f>
        <v/>
      </c>
      <c r="AL24" s="101">
        <f>AL14-AL22</f>
        <v/>
      </c>
      <c r="AM24" s="101">
        <f>AM14-AM22</f>
        <v/>
      </c>
      <c r="AN24" s="101">
        <f>AN14-AN22</f>
        <v/>
      </c>
      <c r="AO24" s="101">
        <f>AO14-AO22</f>
        <v/>
      </c>
      <c r="AP24" s="101">
        <f>AP14-AP22</f>
        <v/>
      </c>
      <c r="AQ24" s="101">
        <f>AQ14-AQ22</f>
        <v/>
      </c>
      <c r="AR24" s="101">
        <f>AR14-AR22</f>
        <v/>
      </c>
      <c r="AS24" s="101">
        <f>AS14-AS22</f>
        <v/>
      </c>
      <c r="AT24" s="101">
        <f>AT14-AT22</f>
        <v/>
      </c>
      <c r="AU24" s="101">
        <f>AU14-AU22</f>
        <v/>
      </c>
      <c r="AV24" s="101">
        <f>AV14-AV22</f>
        <v/>
      </c>
      <c r="AW24" s="101">
        <f>AW14-AW22</f>
        <v/>
      </c>
      <c r="AX24" s="101">
        <f>AX14-AX22</f>
        <v/>
      </c>
      <c r="AY24" s="101">
        <f>AY14-AY22</f>
        <v/>
      </c>
      <c r="AZ24" s="101">
        <f>AZ14-AZ22</f>
        <v/>
      </c>
      <c r="BA24" s="101">
        <f>BA14-BA22</f>
        <v/>
      </c>
      <c r="BB24" s="101">
        <f>BB14-BB22</f>
        <v/>
      </c>
      <c r="BC24" s="101">
        <f>BC14-BC22</f>
        <v/>
      </c>
      <c r="BD24" s="101">
        <f>BD14-BD22</f>
        <v/>
      </c>
      <c r="BE24" s="101">
        <f>BE14-BE22</f>
        <v/>
      </c>
      <c r="BF24" s="101">
        <f>BF14-BF22</f>
        <v/>
      </c>
      <c r="BG24" s="101">
        <f>BG14-BG22</f>
        <v/>
      </c>
      <c r="BH24" s="101">
        <f>BH14-BH22</f>
        <v/>
      </c>
      <c r="BI24" s="101">
        <f>BI14-BI22</f>
        <v/>
      </c>
      <c r="BJ24" s="101">
        <f>BJ14-BJ22</f>
        <v/>
      </c>
      <c r="BK24" s="101">
        <f>BK14-BK22</f>
        <v/>
      </c>
      <c r="BL24" s="101">
        <f>BL14-BL22</f>
        <v/>
      </c>
      <c r="BM24" s="101">
        <f>BM14-BM22</f>
        <v/>
      </c>
      <c r="BN24" s="101">
        <f>BN14-BN22</f>
        <v/>
      </c>
      <c r="BO24" s="101">
        <f>BO14-BO22</f>
        <v/>
      </c>
      <c r="BP24" s="101">
        <f>BP14-BP22</f>
        <v/>
      </c>
      <c r="BQ24" s="101">
        <f>BQ14-BQ22</f>
        <v/>
      </c>
      <c r="BR24" s="101">
        <f>BR14-BR22</f>
        <v/>
      </c>
      <c r="BS24" s="101">
        <f>BS14-BS22</f>
        <v/>
      </c>
      <c r="BT24" s="101">
        <f>BT14-BT22</f>
        <v/>
      </c>
      <c r="BU24" s="101">
        <f>BU14-BU22</f>
        <v/>
      </c>
      <c r="BV24" s="101">
        <f>BV14-BV22</f>
        <v/>
      </c>
      <c r="BW24" s="101">
        <f>BW14-BW22</f>
        <v/>
      </c>
    </row>
    <row r="26">
      <c r="A26" s="97" t="inlineStr">
        <is>
          <t>OPERATING EXPENSE</t>
        </is>
      </c>
    </row>
    <row r="27">
      <c r="A27" t="inlineStr">
        <is>
          <t>Marketing (from Marketing Budget)</t>
        </is>
      </c>
      <c r="D27" s="103">
        <f>'Marketing Budget'!D6</f>
        <v/>
      </c>
      <c r="E27" s="103">
        <f>'Marketing Budget'!E6</f>
        <v/>
      </c>
      <c r="F27" s="103">
        <f>'Marketing Budget'!F6</f>
        <v/>
      </c>
      <c r="G27" s="103">
        <f>'Marketing Budget'!G6</f>
        <v/>
      </c>
      <c r="H27" s="103">
        <f>'Marketing Budget'!H6</f>
        <v/>
      </c>
      <c r="I27" s="103">
        <f>'Marketing Budget'!I6</f>
        <v/>
      </c>
      <c r="J27" s="103">
        <f>'Marketing Budget'!J6</f>
        <v/>
      </c>
      <c r="K27" s="103">
        <f>'Marketing Budget'!K6</f>
        <v/>
      </c>
      <c r="L27" s="103">
        <f>'Marketing Budget'!L6</f>
        <v/>
      </c>
      <c r="M27" s="103">
        <f>'Marketing Budget'!M6</f>
        <v/>
      </c>
      <c r="N27" s="103">
        <f>'Marketing Budget'!N6</f>
        <v/>
      </c>
      <c r="O27" s="103">
        <f>'Marketing Budget'!O6</f>
        <v/>
      </c>
      <c r="P27" s="103">
        <f>'Marketing Budget'!P6</f>
        <v/>
      </c>
      <c r="Q27" s="103">
        <f>'Marketing Budget'!Q6</f>
        <v/>
      </c>
      <c r="R27" s="103">
        <f>'Marketing Budget'!R6</f>
        <v/>
      </c>
      <c r="S27" s="103">
        <f>'Marketing Budget'!S6</f>
        <v/>
      </c>
      <c r="T27" s="103">
        <f>'Marketing Budget'!T6</f>
        <v/>
      </c>
      <c r="U27" s="103">
        <f>'Marketing Budget'!U6</f>
        <v/>
      </c>
      <c r="V27" s="103">
        <f>'Marketing Budget'!V6</f>
        <v/>
      </c>
      <c r="W27" s="103">
        <f>'Marketing Budget'!W6</f>
        <v/>
      </c>
      <c r="X27" s="103">
        <f>'Marketing Budget'!X6</f>
        <v/>
      </c>
      <c r="Y27" s="103">
        <f>'Marketing Budget'!Y6</f>
        <v/>
      </c>
      <c r="Z27" s="103">
        <f>'Marketing Budget'!Z6</f>
        <v/>
      </c>
      <c r="AA27" s="103">
        <f>'Marketing Budget'!AA6</f>
        <v/>
      </c>
      <c r="AB27" s="103">
        <f>'Marketing Budget'!AB6</f>
        <v/>
      </c>
      <c r="AC27" s="103">
        <f>'Marketing Budget'!AC6</f>
        <v/>
      </c>
      <c r="AD27" s="103">
        <f>'Marketing Budget'!AD6</f>
        <v/>
      </c>
      <c r="AE27" s="103">
        <f>'Marketing Budget'!AE6</f>
        <v/>
      </c>
      <c r="AF27" s="103">
        <f>'Marketing Budget'!AF6</f>
        <v/>
      </c>
      <c r="AG27" s="103">
        <f>'Marketing Budget'!AG6</f>
        <v/>
      </c>
      <c r="AH27" s="103">
        <f>'Marketing Budget'!AH6</f>
        <v/>
      </c>
      <c r="AI27" s="103">
        <f>'Marketing Budget'!AI6</f>
        <v/>
      </c>
      <c r="AJ27" s="103">
        <f>'Marketing Budget'!AJ6</f>
        <v/>
      </c>
      <c r="AK27" s="103">
        <f>'Marketing Budget'!AK6</f>
        <v/>
      </c>
      <c r="AL27" s="103">
        <f>'Marketing Budget'!AL6</f>
        <v/>
      </c>
      <c r="AM27" s="103">
        <f>'Marketing Budget'!AM6</f>
        <v/>
      </c>
      <c r="AN27" s="103">
        <f>'Marketing Budget'!AN6</f>
        <v/>
      </c>
      <c r="AO27" s="103">
        <f>'Marketing Budget'!AO6</f>
        <v/>
      </c>
      <c r="AP27" s="103">
        <f>'Marketing Budget'!AP6</f>
        <v/>
      </c>
      <c r="AQ27" s="103">
        <f>'Marketing Budget'!AQ6</f>
        <v/>
      </c>
      <c r="AR27" s="103">
        <f>'Marketing Budget'!AR6</f>
        <v/>
      </c>
      <c r="AS27" s="103">
        <f>'Marketing Budget'!AS6</f>
        <v/>
      </c>
      <c r="AT27" s="103">
        <f>'Marketing Budget'!AT6</f>
        <v/>
      </c>
      <c r="AU27" s="103">
        <f>'Marketing Budget'!AU6</f>
        <v/>
      </c>
      <c r="AV27" s="103">
        <f>'Marketing Budget'!AV6</f>
        <v/>
      </c>
      <c r="AW27" s="103">
        <f>'Marketing Budget'!AW6</f>
        <v/>
      </c>
      <c r="AX27" s="103">
        <f>'Marketing Budget'!AX6</f>
        <v/>
      </c>
      <c r="AY27" s="103">
        <f>'Marketing Budget'!AY6</f>
        <v/>
      </c>
      <c r="AZ27" s="103">
        <f>'Marketing Budget'!AZ6</f>
        <v/>
      </c>
      <c r="BA27" s="103">
        <f>'Marketing Budget'!BA6</f>
        <v/>
      </c>
      <c r="BB27" s="103">
        <f>'Marketing Budget'!BB6</f>
        <v/>
      </c>
      <c r="BC27" s="103">
        <f>'Marketing Budget'!BC6</f>
        <v/>
      </c>
      <c r="BD27" s="103">
        <f>'Marketing Budget'!BD6</f>
        <v/>
      </c>
      <c r="BE27" s="103">
        <f>'Marketing Budget'!BE6</f>
        <v/>
      </c>
      <c r="BF27" s="103">
        <f>'Marketing Budget'!BF6</f>
        <v/>
      </c>
      <c r="BG27" s="103">
        <f>'Marketing Budget'!BG6</f>
        <v/>
      </c>
      <c r="BH27" s="103">
        <f>'Marketing Budget'!BH6</f>
        <v/>
      </c>
      <c r="BI27" s="103">
        <f>'Marketing Budget'!BI6</f>
        <v/>
      </c>
      <c r="BJ27" s="103">
        <f>'Marketing Budget'!BJ6</f>
        <v/>
      </c>
      <c r="BK27" s="103">
        <f>'Marketing Budget'!BK6</f>
        <v/>
      </c>
      <c r="BL27" s="103">
        <f>'Marketing Budget'!BL6</f>
        <v/>
      </c>
      <c r="BM27" s="103">
        <f>'Marketing Budget'!BM6</f>
        <v/>
      </c>
      <c r="BN27" s="103">
        <f>'Marketing Budget'!BN6</f>
        <v/>
      </c>
      <c r="BO27" s="103">
        <f>'Marketing Budget'!BO6</f>
        <v/>
      </c>
      <c r="BP27" s="103">
        <f>'Marketing Budget'!BP6</f>
        <v/>
      </c>
      <c r="BQ27" s="103">
        <f>'Marketing Budget'!BQ6</f>
        <v/>
      </c>
      <c r="BR27" s="103">
        <f>'Marketing Budget'!BR6</f>
        <v/>
      </c>
      <c r="BS27" s="103">
        <f>'Marketing Budget'!BS6</f>
        <v/>
      </c>
      <c r="BT27" s="103">
        <f>'Marketing Budget'!BT6</f>
        <v/>
      </c>
      <c r="BU27" s="103">
        <f>'Marketing Budget'!BU6</f>
        <v/>
      </c>
      <c r="BV27" s="103">
        <f>'Marketing Budget'!BV6</f>
        <v/>
      </c>
      <c r="BW27" s="103">
        <f>'Marketing Budget'!BW6</f>
        <v/>
      </c>
    </row>
    <row r="28">
      <c r="A28" t="inlineStr">
        <is>
          <t>Total comp (from Ops Staffing)</t>
        </is>
      </c>
      <c r="D28" s="103">
        <f>'Ops Staffing'!D44</f>
        <v/>
      </c>
      <c r="E28" s="103">
        <f>'Ops Staffing'!E44</f>
        <v/>
      </c>
      <c r="F28" s="103">
        <f>'Ops Staffing'!F44</f>
        <v/>
      </c>
      <c r="G28" s="103">
        <f>'Ops Staffing'!G44</f>
        <v/>
      </c>
      <c r="H28" s="103">
        <f>'Ops Staffing'!H44</f>
        <v/>
      </c>
      <c r="I28" s="103">
        <f>'Ops Staffing'!I44</f>
        <v/>
      </c>
      <c r="J28" s="103">
        <f>'Ops Staffing'!J44</f>
        <v/>
      </c>
      <c r="K28" s="103">
        <f>'Ops Staffing'!K44</f>
        <v/>
      </c>
      <c r="L28" s="103">
        <f>'Ops Staffing'!L44</f>
        <v/>
      </c>
      <c r="M28" s="103">
        <f>'Ops Staffing'!M44</f>
        <v/>
      </c>
      <c r="N28" s="103">
        <f>'Ops Staffing'!N44</f>
        <v/>
      </c>
      <c r="O28" s="103">
        <f>'Ops Staffing'!O44</f>
        <v/>
      </c>
      <c r="P28" s="103">
        <f>'Ops Staffing'!P44</f>
        <v/>
      </c>
      <c r="Q28" s="103">
        <f>'Ops Staffing'!Q44</f>
        <v/>
      </c>
      <c r="R28" s="103">
        <f>'Ops Staffing'!R44</f>
        <v/>
      </c>
      <c r="S28" s="103">
        <f>'Ops Staffing'!S44</f>
        <v/>
      </c>
      <c r="T28" s="103">
        <f>'Ops Staffing'!T44</f>
        <v/>
      </c>
      <c r="U28" s="103">
        <f>'Ops Staffing'!U44</f>
        <v/>
      </c>
      <c r="V28" s="103">
        <f>'Ops Staffing'!V44</f>
        <v/>
      </c>
      <c r="W28" s="103">
        <f>'Ops Staffing'!W44</f>
        <v/>
      </c>
      <c r="X28" s="103">
        <f>'Ops Staffing'!X44</f>
        <v/>
      </c>
      <c r="Y28" s="103">
        <f>'Ops Staffing'!Y44</f>
        <v/>
      </c>
      <c r="Z28" s="103">
        <f>'Ops Staffing'!Z44</f>
        <v/>
      </c>
      <c r="AA28" s="103">
        <f>'Ops Staffing'!AA44</f>
        <v/>
      </c>
      <c r="AB28" s="103">
        <f>'Ops Staffing'!AB44</f>
        <v/>
      </c>
      <c r="AC28" s="103">
        <f>'Ops Staffing'!AC44</f>
        <v/>
      </c>
      <c r="AD28" s="103">
        <f>'Ops Staffing'!AD44</f>
        <v/>
      </c>
      <c r="AE28" s="103">
        <f>'Ops Staffing'!AE44</f>
        <v/>
      </c>
      <c r="AF28" s="103">
        <f>'Ops Staffing'!AF44</f>
        <v/>
      </c>
      <c r="AG28" s="103">
        <f>'Ops Staffing'!AG44</f>
        <v/>
      </c>
      <c r="AH28" s="103">
        <f>'Ops Staffing'!AH44</f>
        <v/>
      </c>
      <c r="AI28" s="103">
        <f>'Ops Staffing'!AI44</f>
        <v/>
      </c>
      <c r="AJ28" s="103">
        <f>'Ops Staffing'!AJ44</f>
        <v/>
      </c>
      <c r="AK28" s="103">
        <f>'Ops Staffing'!AK44</f>
        <v/>
      </c>
      <c r="AL28" s="103">
        <f>'Ops Staffing'!AL44</f>
        <v/>
      </c>
      <c r="AM28" s="103">
        <f>'Ops Staffing'!AM44</f>
        <v/>
      </c>
      <c r="AN28" s="103">
        <f>'Ops Staffing'!AN44</f>
        <v/>
      </c>
      <c r="AO28" s="103">
        <f>'Ops Staffing'!AO44</f>
        <v/>
      </c>
      <c r="AP28" s="103">
        <f>'Ops Staffing'!AP44</f>
        <v/>
      </c>
      <c r="AQ28" s="103">
        <f>'Ops Staffing'!AQ44</f>
        <v/>
      </c>
      <c r="AR28" s="103">
        <f>'Ops Staffing'!AR44</f>
        <v/>
      </c>
      <c r="AS28" s="103">
        <f>'Ops Staffing'!AS44</f>
        <v/>
      </c>
      <c r="AT28" s="103">
        <f>'Ops Staffing'!AT44</f>
        <v/>
      </c>
      <c r="AU28" s="103">
        <f>'Ops Staffing'!AU44</f>
        <v/>
      </c>
      <c r="AV28" s="103">
        <f>'Ops Staffing'!AV44</f>
        <v/>
      </c>
      <c r="AW28" s="103">
        <f>'Ops Staffing'!AW44</f>
        <v/>
      </c>
      <c r="AX28" s="103">
        <f>'Ops Staffing'!AX44</f>
        <v/>
      </c>
      <c r="AY28" s="103">
        <f>'Ops Staffing'!AY44</f>
        <v/>
      </c>
      <c r="AZ28" s="103">
        <f>'Ops Staffing'!AZ44</f>
        <v/>
      </c>
      <c r="BA28" s="103">
        <f>'Ops Staffing'!BA44</f>
        <v/>
      </c>
      <c r="BB28" s="103">
        <f>'Ops Staffing'!BB44</f>
        <v/>
      </c>
      <c r="BC28" s="103">
        <f>'Ops Staffing'!BC44</f>
        <v/>
      </c>
      <c r="BD28" s="103">
        <f>'Ops Staffing'!BD44</f>
        <v/>
      </c>
      <c r="BE28" s="103">
        <f>'Ops Staffing'!BE44</f>
        <v/>
      </c>
      <c r="BF28" s="103">
        <f>'Ops Staffing'!BF44</f>
        <v/>
      </c>
      <c r="BG28" s="103">
        <f>'Ops Staffing'!BG44</f>
        <v/>
      </c>
      <c r="BH28" s="103">
        <f>'Ops Staffing'!BH44</f>
        <v/>
      </c>
      <c r="BI28" s="103">
        <f>'Ops Staffing'!BI44</f>
        <v/>
      </c>
      <c r="BJ28" s="103">
        <f>'Ops Staffing'!BJ44</f>
        <v/>
      </c>
      <c r="BK28" s="103">
        <f>'Ops Staffing'!BK44</f>
        <v/>
      </c>
      <c r="BL28" s="103">
        <f>'Ops Staffing'!BL44</f>
        <v/>
      </c>
      <c r="BM28" s="103">
        <f>'Ops Staffing'!BM44</f>
        <v/>
      </c>
      <c r="BN28" s="103">
        <f>'Ops Staffing'!BN44</f>
        <v/>
      </c>
      <c r="BO28" s="103">
        <f>'Ops Staffing'!BO44</f>
        <v/>
      </c>
      <c r="BP28" s="103">
        <f>'Ops Staffing'!BP44</f>
        <v/>
      </c>
      <c r="BQ28" s="103">
        <f>'Ops Staffing'!BQ44</f>
        <v/>
      </c>
      <c r="BR28" s="103">
        <f>'Ops Staffing'!BR44</f>
        <v/>
      </c>
      <c r="BS28" s="103">
        <f>'Ops Staffing'!BS44</f>
        <v/>
      </c>
      <c r="BT28" s="103">
        <f>'Ops Staffing'!BT44</f>
        <v/>
      </c>
      <c r="BU28" s="103">
        <f>'Ops Staffing'!BU44</f>
        <v/>
      </c>
      <c r="BV28" s="103">
        <f>'Ops Staffing'!BV44</f>
        <v/>
      </c>
      <c r="BW28" s="103">
        <f>'Ops Staffing'!BW44</f>
        <v/>
      </c>
    </row>
    <row r="29">
      <c r="A29" t="inlineStr">
        <is>
          <t>Total SG&amp;A</t>
        </is>
      </c>
      <c r="D29" s="103">
        <f>'SG&amp;A'!D21</f>
        <v/>
      </c>
      <c r="E29" s="103">
        <f>'SG&amp;A'!E21</f>
        <v/>
      </c>
      <c r="F29" s="103">
        <f>'SG&amp;A'!F21</f>
        <v/>
      </c>
      <c r="G29" s="103">
        <f>'SG&amp;A'!G21</f>
        <v/>
      </c>
      <c r="H29" s="103">
        <f>'SG&amp;A'!H21</f>
        <v/>
      </c>
      <c r="I29" s="103">
        <f>'SG&amp;A'!I21</f>
        <v/>
      </c>
      <c r="J29" s="103">
        <f>'SG&amp;A'!J21</f>
        <v/>
      </c>
      <c r="K29" s="103">
        <f>'SG&amp;A'!K21</f>
        <v/>
      </c>
      <c r="L29" s="103">
        <f>'SG&amp;A'!L21</f>
        <v/>
      </c>
      <c r="M29" s="103">
        <f>'SG&amp;A'!M21</f>
        <v/>
      </c>
      <c r="N29" s="103">
        <f>'SG&amp;A'!N21</f>
        <v/>
      </c>
      <c r="O29" s="103">
        <f>'SG&amp;A'!O21</f>
        <v/>
      </c>
      <c r="P29" s="103">
        <f>'SG&amp;A'!P21</f>
        <v/>
      </c>
      <c r="Q29" s="103">
        <f>'SG&amp;A'!Q21</f>
        <v/>
      </c>
      <c r="R29" s="103">
        <f>'SG&amp;A'!R21</f>
        <v/>
      </c>
      <c r="S29" s="103">
        <f>'SG&amp;A'!S21</f>
        <v/>
      </c>
      <c r="T29" s="103">
        <f>'SG&amp;A'!T21</f>
        <v/>
      </c>
      <c r="U29" s="103">
        <f>'SG&amp;A'!U21</f>
        <v/>
      </c>
      <c r="V29" s="103">
        <f>'SG&amp;A'!V21</f>
        <v/>
      </c>
      <c r="W29" s="103">
        <f>'SG&amp;A'!W21</f>
        <v/>
      </c>
      <c r="X29" s="103">
        <f>'SG&amp;A'!X21</f>
        <v/>
      </c>
      <c r="Y29" s="103">
        <f>'SG&amp;A'!Y21</f>
        <v/>
      </c>
      <c r="Z29" s="103">
        <f>'SG&amp;A'!Z21</f>
        <v/>
      </c>
      <c r="AA29" s="103">
        <f>'SG&amp;A'!AA21</f>
        <v/>
      </c>
      <c r="AB29" s="103">
        <f>'SG&amp;A'!AB21</f>
        <v/>
      </c>
      <c r="AC29" s="103">
        <f>'SG&amp;A'!AC21</f>
        <v/>
      </c>
      <c r="AD29" s="103">
        <f>'SG&amp;A'!AD21</f>
        <v/>
      </c>
      <c r="AE29" s="103">
        <f>'SG&amp;A'!AE21</f>
        <v/>
      </c>
      <c r="AF29" s="103">
        <f>'SG&amp;A'!AF21</f>
        <v/>
      </c>
      <c r="AG29" s="103">
        <f>'SG&amp;A'!AG21</f>
        <v/>
      </c>
      <c r="AH29" s="103">
        <f>'SG&amp;A'!AH21</f>
        <v/>
      </c>
      <c r="AI29" s="103">
        <f>'SG&amp;A'!AI21</f>
        <v/>
      </c>
      <c r="AJ29" s="103">
        <f>'SG&amp;A'!AJ21</f>
        <v/>
      </c>
      <c r="AK29" s="103">
        <f>'SG&amp;A'!AK21</f>
        <v/>
      </c>
      <c r="AL29" s="103">
        <f>'SG&amp;A'!AL21</f>
        <v/>
      </c>
      <c r="AM29" s="103">
        <f>'SG&amp;A'!AM21</f>
        <v/>
      </c>
      <c r="AN29" s="103">
        <f>'SG&amp;A'!AN21</f>
        <v/>
      </c>
      <c r="AO29" s="103">
        <f>'SG&amp;A'!AO21</f>
        <v/>
      </c>
      <c r="AP29" s="103">
        <f>'SG&amp;A'!AP21</f>
        <v/>
      </c>
      <c r="AQ29" s="103">
        <f>'SG&amp;A'!AQ21</f>
        <v/>
      </c>
      <c r="AR29" s="103">
        <f>'SG&amp;A'!AR21</f>
        <v/>
      </c>
      <c r="AS29" s="103">
        <f>'SG&amp;A'!AS21</f>
        <v/>
      </c>
      <c r="AT29" s="103">
        <f>'SG&amp;A'!AT21</f>
        <v/>
      </c>
      <c r="AU29" s="103">
        <f>'SG&amp;A'!AU21</f>
        <v/>
      </c>
      <c r="AV29" s="103">
        <f>'SG&amp;A'!AV21</f>
        <v/>
      </c>
      <c r="AW29" s="103">
        <f>'SG&amp;A'!AW21</f>
        <v/>
      </c>
      <c r="AX29" s="103">
        <f>'SG&amp;A'!AX21</f>
        <v/>
      </c>
      <c r="AY29" s="103">
        <f>'SG&amp;A'!AY21</f>
        <v/>
      </c>
      <c r="AZ29" s="103">
        <f>'SG&amp;A'!AZ21</f>
        <v/>
      </c>
      <c r="BA29" s="103">
        <f>'SG&amp;A'!BA21</f>
        <v/>
      </c>
      <c r="BB29" s="103">
        <f>'SG&amp;A'!BB21</f>
        <v/>
      </c>
      <c r="BC29" s="103">
        <f>'SG&amp;A'!BC21</f>
        <v/>
      </c>
      <c r="BD29" s="103">
        <f>'SG&amp;A'!BD21</f>
        <v/>
      </c>
      <c r="BE29" s="103">
        <f>'SG&amp;A'!BE21</f>
        <v/>
      </c>
      <c r="BF29" s="103">
        <f>'SG&amp;A'!BF21</f>
        <v/>
      </c>
      <c r="BG29" s="103">
        <f>'SG&amp;A'!BG21</f>
        <v/>
      </c>
      <c r="BH29" s="103">
        <f>'SG&amp;A'!BH21</f>
        <v/>
      </c>
      <c r="BI29" s="103">
        <f>'SG&amp;A'!BI21</f>
        <v/>
      </c>
      <c r="BJ29" s="103">
        <f>'SG&amp;A'!BJ21</f>
        <v/>
      </c>
      <c r="BK29" s="103">
        <f>'SG&amp;A'!BK21</f>
        <v/>
      </c>
      <c r="BL29" s="103">
        <f>'SG&amp;A'!BL21</f>
        <v/>
      </c>
      <c r="BM29" s="103">
        <f>'SG&amp;A'!BM21</f>
        <v/>
      </c>
      <c r="BN29" s="103">
        <f>'SG&amp;A'!BN21</f>
        <v/>
      </c>
      <c r="BO29" s="103">
        <f>'SG&amp;A'!BO21</f>
        <v/>
      </c>
      <c r="BP29" s="103">
        <f>'SG&amp;A'!BP21</f>
        <v/>
      </c>
      <c r="BQ29" s="103">
        <f>'SG&amp;A'!BQ21</f>
        <v/>
      </c>
      <c r="BR29" s="103">
        <f>'SG&amp;A'!BR21</f>
        <v/>
      </c>
      <c r="BS29" s="103">
        <f>'SG&amp;A'!BS21</f>
        <v/>
      </c>
      <c r="BT29" s="103">
        <f>'SG&amp;A'!BT21</f>
        <v/>
      </c>
      <c r="BU29" s="103">
        <f>'SG&amp;A'!BU21</f>
        <v/>
      </c>
      <c r="BV29" s="103">
        <f>'SG&amp;A'!BV21</f>
        <v/>
      </c>
      <c r="BW29" s="103">
        <f>'SG&amp;A'!BW21</f>
        <v/>
      </c>
    </row>
    <row r="30">
      <c r="A30" s="4" t="inlineStr">
        <is>
          <t>Other operating expense (calibration plug)</t>
        </is>
      </c>
      <c r="D30" s="17">
        <f>D14*0.32</f>
        <v/>
      </c>
      <c r="E30" s="17">
        <f>E14*0.32</f>
        <v/>
      </c>
      <c r="F30" s="17">
        <f>F14*0.32</f>
        <v/>
      </c>
      <c r="G30" s="17">
        <f>G14*0.32</f>
        <v/>
      </c>
      <c r="H30" s="17">
        <f>H14*0.32</f>
        <v/>
      </c>
      <c r="I30" s="17">
        <f>I14*0.32</f>
        <v/>
      </c>
      <c r="J30" s="17">
        <f>J14*0.32</f>
        <v/>
      </c>
      <c r="K30" s="17">
        <f>K14*0.32</f>
        <v/>
      </c>
      <c r="L30" s="17">
        <f>L14*0.32</f>
        <v/>
      </c>
      <c r="M30" s="17">
        <f>M14*0.32</f>
        <v/>
      </c>
      <c r="N30" s="17">
        <f>N14*0.32</f>
        <v/>
      </c>
      <c r="O30" s="17">
        <f>O14*0.32</f>
        <v/>
      </c>
      <c r="P30" s="17">
        <f>P14*0.32</f>
        <v/>
      </c>
      <c r="Q30" s="17">
        <f>Q14*0.32</f>
        <v/>
      </c>
      <c r="R30" s="17">
        <f>R14*0.32</f>
        <v/>
      </c>
      <c r="S30" s="17">
        <f>S14*0.32</f>
        <v/>
      </c>
      <c r="T30" s="17">
        <f>T14*0.32</f>
        <v/>
      </c>
      <c r="U30" s="17">
        <f>U14*0.32</f>
        <v/>
      </c>
      <c r="V30" s="17">
        <f>V14*0.32</f>
        <v/>
      </c>
      <c r="W30" s="17">
        <f>W14*0.32</f>
        <v/>
      </c>
      <c r="X30" s="17">
        <f>X14*0.32</f>
        <v/>
      </c>
      <c r="Y30" s="17">
        <f>Y14*0.32</f>
        <v/>
      </c>
      <c r="Z30" s="17">
        <f>Z14*0.32</f>
        <v/>
      </c>
      <c r="AA30" s="17">
        <f>AA14*0.32</f>
        <v/>
      </c>
      <c r="AB30" s="17">
        <f>AB14*0.32</f>
        <v/>
      </c>
      <c r="AC30" s="17">
        <f>AC14*0.32</f>
        <v/>
      </c>
      <c r="AD30" s="17">
        <f>AD14*0.32</f>
        <v/>
      </c>
      <c r="AE30" s="17">
        <f>AE14*0.32</f>
        <v/>
      </c>
      <c r="AF30" s="17">
        <f>AF14*0.32</f>
        <v/>
      </c>
      <c r="AG30" s="17">
        <f>AG14*0.32</f>
        <v/>
      </c>
      <c r="AH30" s="17">
        <f>AH14*0.32</f>
        <v/>
      </c>
      <c r="AI30" s="17">
        <f>AI14*0.32</f>
        <v/>
      </c>
      <c r="AJ30" s="17">
        <f>AJ14*0.32</f>
        <v/>
      </c>
      <c r="AK30" s="17">
        <f>AK14*0.32</f>
        <v/>
      </c>
      <c r="AL30" s="17">
        <f>AL14*0.32</f>
        <v/>
      </c>
      <c r="AM30" s="17">
        <f>AM14*0.32</f>
        <v/>
      </c>
      <c r="AN30" s="17">
        <f>AN14*0.32</f>
        <v/>
      </c>
      <c r="AO30" s="17">
        <f>AO14*0.32</f>
        <v/>
      </c>
      <c r="AP30" s="17">
        <f>AP14*0.32</f>
        <v/>
      </c>
      <c r="AQ30" s="17">
        <f>AQ14*0.32</f>
        <v/>
      </c>
      <c r="AR30" s="17">
        <f>AR14*0.32</f>
        <v/>
      </c>
      <c r="AS30" s="17">
        <f>AS14*0.32</f>
        <v/>
      </c>
      <c r="AT30" s="17">
        <f>AT14*0.32</f>
        <v/>
      </c>
      <c r="AU30" s="17">
        <f>AU14*0.32</f>
        <v/>
      </c>
      <c r="AV30" s="17">
        <f>AV14*0.32</f>
        <v/>
      </c>
      <c r="AW30" s="17">
        <f>AW14*0.32</f>
        <v/>
      </c>
      <c r="AX30" s="17">
        <f>AX14*0.32</f>
        <v/>
      </c>
      <c r="AY30" s="17">
        <f>AY14*0.32</f>
        <v/>
      </c>
      <c r="AZ30" s="17">
        <f>AZ14*0.32</f>
        <v/>
      </c>
      <c r="BA30" s="17">
        <f>BA14*0.32</f>
        <v/>
      </c>
      <c r="BB30" s="17">
        <f>BB14*0.32</f>
        <v/>
      </c>
      <c r="BC30" s="17">
        <f>BC14*0.32</f>
        <v/>
      </c>
      <c r="BD30" s="17">
        <f>BD14*0.32</f>
        <v/>
      </c>
      <c r="BE30" s="17">
        <f>BE14*0.32</f>
        <v/>
      </c>
      <c r="BF30" s="17">
        <f>BF14*0.32</f>
        <v/>
      </c>
      <c r="BG30" s="17">
        <f>BG14*0.32</f>
        <v/>
      </c>
      <c r="BH30" s="17">
        <f>BH14*0.32</f>
        <v/>
      </c>
      <c r="BI30" s="17">
        <f>BI14*0.32</f>
        <v/>
      </c>
      <c r="BJ30" s="17">
        <f>BJ14*0.32</f>
        <v/>
      </c>
      <c r="BK30" s="17">
        <f>BK14*0.32</f>
        <v/>
      </c>
      <c r="BL30" s="17">
        <f>BL14*0.32</f>
        <v/>
      </c>
      <c r="BM30" s="17">
        <f>BM14*0.32</f>
        <v/>
      </c>
      <c r="BN30" s="17">
        <f>BN14*0.32</f>
        <v/>
      </c>
      <c r="BO30" s="17">
        <f>BO14*0.32</f>
        <v/>
      </c>
      <c r="BP30" s="17">
        <f>BP14*0.32</f>
        <v/>
      </c>
      <c r="BQ30" s="17">
        <f>BQ14*0.32</f>
        <v/>
      </c>
      <c r="BR30" s="17">
        <f>BR14*0.32</f>
        <v/>
      </c>
      <c r="BS30" s="17">
        <f>BS14*0.32</f>
        <v/>
      </c>
      <c r="BT30" s="17">
        <f>BT14*0.32</f>
        <v/>
      </c>
      <c r="BU30" s="17">
        <f>BU14*0.32</f>
        <v/>
      </c>
      <c r="BV30" s="17">
        <f>BV14*0.32</f>
        <v/>
      </c>
      <c r="BW30" s="17">
        <f>BW14*0.32</f>
        <v/>
      </c>
    </row>
    <row r="31">
      <c r="A31" s="1" t="inlineStr">
        <is>
          <t>Total operating expense</t>
        </is>
      </c>
      <c r="D31" s="101">
        <f>SUM(D27:D30)</f>
        <v/>
      </c>
      <c r="E31" s="101">
        <f>SUM(E27:E30)</f>
        <v/>
      </c>
      <c r="F31" s="101">
        <f>SUM(F27:F30)</f>
        <v/>
      </c>
      <c r="G31" s="101">
        <f>SUM(G27:G30)</f>
        <v/>
      </c>
      <c r="H31" s="101">
        <f>SUM(H27:H30)</f>
        <v/>
      </c>
      <c r="I31" s="101">
        <f>SUM(I27:I30)</f>
        <v/>
      </c>
      <c r="J31" s="101">
        <f>SUM(J27:J30)</f>
        <v/>
      </c>
      <c r="K31" s="101">
        <f>SUM(K27:K30)</f>
        <v/>
      </c>
      <c r="L31" s="101">
        <f>SUM(L27:L30)</f>
        <v/>
      </c>
      <c r="M31" s="101">
        <f>SUM(M27:M30)</f>
        <v/>
      </c>
      <c r="N31" s="101">
        <f>SUM(N27:N30)</f>
        <v/>
      </c>
      <c r="O31" s="101">
        <f>SUM(O27:O30)</f>
        <v/>
      </c>
      <c r="P31" s="101">
        <f>SUM(P27:P30)</f>
        <v/>
      </c>
      <c r="Q31" s="101">
        <f>SUM(Q27:Q30)</f>
        <v/>
      </c>
      <c r="R31" s="101">
        <f>SUM(R27:R30)</f>
        <v/>
      </c>
      <c r="S31" s="101">
        <f>SUM(S27:S30)</f>
        <v/>
      </c>
      <c r="T31" s="101">
        <f>SUM(T27:T30)</f>
        <v/>
      </c>
      <c r="U31" s="101">
        <f>SUM(U27:U30)</f>
        <v/>
      </c>
      <c r="V31" s="101">
        <f>SUM(V27:V30)</f>
        <v/>
      </c>
      <c r="W31" s="101">
        <f>SUM(W27:W30)</f>
        <v/>
      </c>
      <c r="X31" s="101">
        <f>SUM(X27:X30)</f>
        <v/>
      </c>
      <c r="Y31" s="101">
        <f>SUM(Y27:Y30)</f>
        <v/>
      </c>
      <c r="Z31" s="101">
        <f>SUM(Z27:Z30)</f>
        <v/>
      </c>
      <c r="AA31" s="101">
        <f>SUM(AA27:AA30)</f>
        <v/>
      </c>
      <c r="AB31" s="101">
        <f>SUM(AB27:AB30)</f>
        <v/>
      </c>
      <c r="AC31" s="101">
        <f>SUM(AC27:AC30)</f>
        <v/>
      </c>
      <c r="AD31" s="101">
        <f>SUM(AD27:AD30)</f>
        <v/>
      </c>
      <c r="AE31" s="101">
        <f>SUM(AE27:AE30)</f>
        <v/>
      </c>
      <c r="AF31" s="101">
        <f>SUM(AF27:AF30)</f>
        <v/>
      </c>
      <c r="AG31" s="101">
        <f>SUM(AG27:AG30)</f>
        <v/>
      </c>
      <c r="AH31" s="101">
        <f>SUM(AH27:AH30)</f>
        <v/>
      </c>
      <c r="AI31" s="101">
        <f>SUM(AI27:AI30)</f>
        <v/>
      </c>
      <c r="AJ31" s="101">
        <f>SUM(AJ27:AJ30)</f>
        <v/>
      </c>
      <c r="AK31" s="101">
        <f>SUM(AK27:AK30)</f>
        <v/>
      </c>
      <c r="AL31" s="101">
        <f>SUM(AL27:AL30)</f>
        <v/>
      </c>
      <c r="AM31" s="101">
        <f>SUM(AM27:AM30)</f>
        <v/>
      </c>
      <c r="AN31" s="101">
        <f>SUM(AN27:AN30)</f>
        <v/>
      </c>
      <c r="AO31" s="101">
        <f>SUM(AO27:AO30)</f>
        <v/>
      </c>
      <c r="AP31" s="101">
        <f>SUM(AP27:AP30)</f>
        <v/>
      </c>
      <c r="AQ31" s="101">
        <f>SUM(AQ27:AQ30)</f>
        <v/>
      </c>
      <c r="AR31" s="101">
        <f>SUM(AR27:AR30)</f>
        <v/>
      </c>
      <c r="AS31" s="101">
        <f>SUM(AS27:AS30)</f>
        <v/>
      </c>
      <c r="AT31" s="101">
        <f>SUM(AT27:AT30)</f>
        <v/>
      </c>
      <c r="AU31" s="101">
        <f>SUM(AU27:AU30)</f>
        <v/>
      </c>
      <c r="AV31" s="101">
        <f>SUM(AV27:AV30)</f>
        <v/>
      </c>
      <c r="AW31" s="101">
        <f>SUM(AW27:AW30)</f>
        <v/>
      </c>
      <c r="AX31" s="101">
        <f>SUM(AX27:AX30)</f>
        <v/>
      </c>
      <c r="AY31" s="101">
        <f>SUM(AY27:AY30)</f>
        <v/>
      </c>
      <c r="AZ31" s="101">
        <f>SUM(AZ27:AZ30)</f>
        <v/>
      </c>
      <c r="BA31" s="101">
        <f>SUM(BA27:BA30)</f>
        <v/>
      </c>
      <c r="BB31" s="101">
        <f>SUM(BB27:BB30)</f>
        <v/>
      </c>
      <c r="BC31" s="101">
        <f>SUM(BC27:BC30)</f>
        <v/>
      </c>
      <c r="BD31" s="101">
        <f>SUM(BD27:BD30)</f>
        <v/>
      </c>
      <c r="BE31" s="101">
        <f>SUM(BE27:BE30)</f>
        <v/>
      </c>
      <c r="BF31" s="101">
        <f>SUM(BF27:BF30)</f>
        <v/>
      </c>
      <c r="BG31" s="101">
        <f>SUM(BG27:BG30)</f>
        <v/>
      </c>
      <c r="BH31" s="101">
        <f>SUM(BH27:BH30)</f>
        <v/>
      </c>
      <c r="BI31" s="101">
        <f>SUM(BI27:BI30)</f>
        <v/>
      </c>
      <c r="BJ31" s="101">
        <f>SUM(BJ27:BJ30)</f>
        <v/>
      </c>
      <c r="BK31" s="101">
        <f>SUM(BK27:BK30)</f>
        <v/>
      </c>
      <c r="BL31" s="101">
        <f>SUM(BL27:BL30)</f>
        <v/>
      </c>
      <c r="BM31" s="101">
        <f>SUM(BM27:BM30)</f>
        <v/>
      </c>
      <c r="BN31" s="101">
        <f>SUM(BN27:BN30)</f>
        <v/>
      </c>
      <c r="BO31" s="101">
        <f>SUM(BO27:BO30)</f>
        <v/>
      </c>
      <c r="BP31" s="101">
        <f>SUM(BP27:BP30)</f>
        <v/>
      </c>
      <c r="BQ31" s="101">
        <f>SUM(BQ27:BQ30)</f>
        <v/>
      </c>
      <c r="BR31" s="101">
        <f>SUM(BR27:BR30)</f>
        <v/>
      </c>
      <c r="BS31" s="101">
        <f>SUM(BS27:BS30)</f>
        <v/>
      </c>
      <c r="BT31" s="101">
        <f>SUM(BT27:BT30)</f>
        <v/>
      </c>
      <c r="BU31" s="101">
        <f>SUM(BU27:BU30)</f>
        <v/>
      </c>
      <c r="BV31" s="101">
        <f>SUM(BV27:BV30)</f>
        <v/>
      </c>
      <c r="BW31" s="101">
        <f>SUM(BW27:BW30)</f>
        <v/>
      </c>
    </row>
    <row r="33">
      <c r="A33" s="1" t="inlineStr">
        <is>
          <t>EBIT / EBITDA (proxy)</t>
        </is>
      </c>
      <c r="D33" s="101">
        <f>D24-D31</f>
        <v/>
      </c>
      <c r="E33" s="101">
        <f>E24-E31</f>
        <v/>
      </c>
      <c r="F33" s="101">
        <f>F24-F31</f>
        <v/>
      </c>
      <c r="G33" s="101">
        <f>G24-G31</f>
        <v/>
      </c>
      <c r="H33" s="101">
        <f>H24-H31</f>
        <v/>
      </c>
      <c r="I33" s="101">
        <f>I24-I31</f>
        <v/>
      </c>
      <c r="J33" s="101">
        <f>J24-J31</f>
        <v/>
      </c>
      <c r="K33" s="101">
        <f>K24-K31</f>
        <v/>
      </c>
      <c r="L33" s="101">
        <f>L24-L31</f>
        <v/>
      </c>
      <c r="M33" s="101">
        <f>M24-M31</f>
        <v/>
      </c>
      <c r="N33" s="101">
        <f>N24-N31</f>
        <v/>
      </c>
      <c r="O33" s="101">
        <f>O24-O31</f>
        <v/>
      </c>
      <c r="P33" s="101">
        <f>P24-P31</f>
        <v/>
      </c>
      <c r="Q33" s="101">
        <f>Q24-Q31</f>
        <v/>
      </c>
      <c r="R33" s="101">
        <f>R24-R31</f>
        <v/>
      </c>
      <c r="S33" s="101">
        <f>S24-S31</f>
        <v/>
      </c>
      <c r="T33" s="101">
        <f>T24-T31</f>
        <v/>
      </c>
      <c r="U33" s="101">
        <f>U24-U31</f>
        <v/>
      </c>
      <c r="V33" s="101">
        <f>V24-V31</f>
        <v/>
      </c>
      <c r="W33" s="101">
        <f>W24-W31</f>
        <v/>
      </c>
      <c r="X33" s="101">
        <f>X24-X31</f>
        <v/>
      </c>
      <c r="Y33" s="101">
        <f>Y24-Y31</f>
        <v/>
      </c>
      <c r="Z33" s="101">
        <f>Z24-Z31</f>
        <v/>
      </c>
      <c r="AA33" s="101">
        <f>AA24-AA31</f>
        <v/>
      </c>
      <c r="AB33" s="101">
        <f>AB24-AB31</f>
        <v/>
      </c>
      <c r="AC33" s="101">
        <f>AC24-AC31</f>
        <v/>
      </c>
      <c r="AD33" s="101">
        <f>AD24-AD31</f>
        <v/>
      </c>
      <c r="AE33" s="101">
        <f>AE24-AE31</f>
        <v/>
      </c>
      <c r="AF33" s="101">
        <f>AF24-AF31</f>
        <v/>
      </c>
      <c r="AG33" s="101">
        <f>AG24-AG31</f>
        <v/>
      </c>
      <c r="AH33" s="101">
        <f>AH24-AH31</f>
        <v/>
      </c>
      <c r="AI33" s="101">
        <f>AI24-AI31</f>
        <v/>
      </c>
      <c r="AJ33" s="101">
        <f>AJ24-AJ31</f>
        <v/>
      </c>
      <c r="AK33" s="101">
        <f>AK24-AK31</f>
        <v/>
      </c>
      <c r="AL33" s="101">
        <f>AL24-AL31</f>
        <v/>
      </c>
      <c r="AM33" s="101">
        <f>AM24-AM31</f>
        <v/>
      </c>
      <c r="AN33" s="101">
        <f>AN24-AN31</f>
        <v/>
      </c>
      <c r="AO33" s="101">
        <f>AO24-AO31</f>
        <v/>
      </c>
      <c r="AP33" s="101">
        <f>AP24-AP31</f>
        <v/>
      </c>
      <c r="AQ33" s="101">
        <f>AQ24-AQ31</f>
        <v/>
      </c>
      <c r="AR33" s="101">
        <f>AR24-AR31</f>
        <v/>
      </c>
      <c r="AS33" s="101">
        <f>AS24-AS31</f>
        <v/>
      </c>
      <c r="AT33" s="101">
        <f>AT24-AT31</f>
        <v/>
      </c>
      <c r="AU33" s="101">
        <f>AU24-AU31</f>
        <v/>
      </c>
      <c r="AV33" s="101">
        <f>AV24-AV31</f>
        <v/>
      </c>
      <c r="AW33" s="101">
        <f>AW24-AW31</f>
        <v/>
      </c>
      <c r="AX33" s="101">
        <f>AX24-AX31</f>
        <v/>
      </c>
      <c r="AY33" s="101">
        <f>AY24-AY31</f>
        <v/>
      </c>
      <c r="AZ33" s="101">
        <f>AZ24-AZ31</f>
        <v/>
      </c>
      <c r="BA33" s="101">
        <f>BA24-BA31</f>
        <v/>
      </c>
      <c r="BB33" s="101">
        <f>BB24-BB31</f>
        <v/>
      </c>
      <c r="BC33" s="101">
        <f>BC24-BC31</f>
        <v/>
      </c>
      <c r="BD33" s="101">
        <f>BD24-BD31</f>
        <v/>
      </c>
      <c r="BE33" s="101">
        <f>BE24-BE31</f>
        <v/>
      </c>
      <c r="BF33" s="101">
        <f>BF24-BF31</f>
        <v/>
      </c>
      <c r="BG33" s="101">
        <f>BG24-BG31</f>
        <v/>
      </c>
      <c r="BH33" s="101">
        <f>BH24-BH31</f>
        <v/>
      </c>
      <c r="BI33" s="101">
        <f>BI24-BI31</f>
        <v/>
      </c>
      <c r="BJ33" s="101">
        <f>BJ24-BJ31</f>
        <v/>
      </c>
      <c r="BK33" s="101">
        <f>BK24-BK31</f>
        <v/>
      </c>
      <c r="BL33" s="101">
        <f>BL24-BL31</f>
        <v/>
      </c>
      <c r="BM33" s="101">
        <f>BM24-BM31</f>
        <v/>
      </c>
      <c r="BN33" s="101">
        <f>BN24-BN31</f>
        <v/>
      </c>
      <c r="BO33" s="101">
        <f>BO24-BO31</f>
        <v/>
      </c>
      <c r="BP33" s="101">
        <f>BP24-BP31</f>
        <v/>
      </c>
      <c r="BQ33" s="101">
        <f>BQ24-BQ31</f>
        <v/>
      </c>
      <c r="BR33" s="101">
        <f>BR24-BR31</f>
        <v/>
      </c>
      <c r="BS33" s="101">
        <f>BS24-BS31</f>
        <v/>
      </c>
      <c r="BT33" s="101">
        <f>BT24-BT31</f>
        <v/>
      </c>
      <c r="BU33" s="101">
        <f>BU24-BU31</f>
        <v/>
      </c>
      <c r="BV33" s="101">
        <f>BV24-BV31</f>
        <v/>
      </c>
      <c r="BW33" s="101">
        <f>BW24-BW31</f>
        <v/>
      </c>
    </row>
    <row r="35">
      <c r="A35" t="inlineStr">
        <is>
          <t>Interest expense</t>
        </is>
      </c>
      <c r="D35" s="103">
        <f>Debt!D7+Debt!D8</f>
        <v/>
      </c>
      <c r="E35" s="103">
        <f>Debt!E7+Debt!E8</f>
        <v/>
      </c>
      <c r="F35" s="103">
        <f>Debt!F7+Debt!F8</f>
        <v/>
      </c>
      <c r="G35" s="103">
        <f>Debt!G7+Debt!G8</f>
        <v/>
      </c>
      <c r="H35" s="103">
        <f>Debt!H7+Debt!H8</f>
        <v/>
      </c>
      <c r="I35" s="103">
        <f>Debt!I7+Debt!I8</f>
        <v/>
      </c>
      <c r="J35" s="103">
        <f>Debt!J7+Debt!J8</f>
        <v/>
      </c>
      <c r="K35" s="103">
        <f>Debt!K7+Debt!K8</f>
        <v/>
      </c>
      <c r="L35" s="103">
        <f>Debt!L7+Debt!L8</f>
        <v/>
      </c>
      <c r="M35" s="103">
        <f>Debt!M7+Debt!M8</f>
        <v/>
      </c>
      <c r="N35" s="103">
        <f>Debt!N7+Debt!N8</f>
        <v/>
      </c>
      <c r="O35" s="103">
        <f>Debt!O7+Debt!O8</f>
        <v/>
      </c>
      <c r="P35" s="103">
        <f>Debt!P7+Debt!P8</f>
        <v/>
      </c>
      <c r="Q35" s="103">
        <f>Debt!Q7+Debt!Q8</f>
        <v/>
      </c>
      <c r="R35" s="103">
        <f>Debt!R7+Debt!R8</f>
        <v/>
      </c>
      <c r="S35" s="103">
        <f>Debt!S7+Debt!S8</f>
        <v/>
      </c>
      <c r="T35" s="103">
        <f>Debt!T7+Debt!T8</f>
        <v/>
      </c>
      <c r="U35" s="103">
        <f>Debt!U7+Debt!U8</f>
        <v/>
      </c>
      <c r="V35" s="103">
        <f>Debt!V7+Debt!V8</f>
        <v/>
      </c>
      <c r="W35" s="103">
        <f>Debt!W7+Debt!W8</f>
        <v/>
      </c>
      <c r="X35" s="103">
        <f>Debt!X7+Debt!X8</f>
        <v/>
      </c>
      <c r="Y35" s="103">
        <f>Debt!Y7+Debt!Y8</f>
        <v/>
      </c>
      <c r="Z35" s="103">
        <f>Debt!Z7+Debt!Z8</f>
        <v/>
      </c>
      <c r="AA35" s="103">
        <f>Debt!AA7+Debt!AA8</f>
        <v/>
      </c>
      <c r="AB35" s="103">
        <f>Debt!AB7+Debt!AB8</f>
        <v/>
      </c>
      <c r="AC35" s="103">
        <f>Debt!AC7+Debt!AC8</f>
        <v/>
      </c>
      <c r="AD35" s="103">
        <f>Debt!AD7+Debt!AD8</f>
        <v/>
      </c>
      <c r="AE35" s="103">
        <f>Debt!AE7+Debt!AE8</f>
        <v/>
      </c>
      <c r="AF35" s="103">
        <f>Debt!AF7+Debt!AF8</f>
        <v/>
      </c>
      <c r="AG35" s="103">
        <f>Debt!AG7+Debt!AG8</f>
        <v/>
      </c>
      <c r="AH35" s="103">
        <f>Debt!AH7+Debt!AH8</f>
        <v/>
      </c>
      <c r="AI35" s="103">
        <f>Debt!AI7+Debt!AI8</f>
        <v/>
      </c>
      <c r="AJ35" s="103">
        <f>Debt!AJ7+Debt!AJ8</f>
        <v/>
      </c>
      <c r="AK35" s="103">
        <f>Debt!AK7+Debt!AK8</f>
        <v/>
      </c>
      <c r="AL35" s="103">
        <f>Debt!AL7+Debt!AL8</f>
        <v/>
      </c>
      <c r="AM35" s="103">
        <f>Debt!AM7+Debt!AM8</f>
        <v/>
      </c>
      <c r="AN35" s="103">
        <f>Debt!AN7+Debt!AN8</f>
        <v/>
      </c>
      <c r="AO35" s="103">
        <f>Debt!AO7+Debt!AO8</f>
        <v/>
      </c>
      <c r="AP35" s="103">
        <f>Debt!AP7+Debt!AP8</f>
        <v/>
      </c>
      <c r="AQ35" s="103">
        <f>Debt!AQ7+Debt!AQ8</f>
        <v/>
      </c>
      <c r="AR35" s="103">
        <f>Debt!AR7+Debt!AR8</f>
        <v/>
      </c>
      <c r="AS35" s="103">
        <f>Debt!AS7+Debt!AS8</f>
        <v/>
      </c>
      <c r="AT35" s="103">
        <f>Debt!AT7+Debt!AT8</f>
        <v/>
      </c>
      <c r="AU35" s="103">
        <f>Debt!AU7+Debt!AU8</f>
        <v/>
      </c>
      <c r="AV35" s="103">
        <f>Debt!AV7+Debt!AV8</f>
        <v/>
      </c>
      <c r="AW35" s="103">
        <f>Debt!AW7+Debt!AW8</f>
        <v/>
      </c>
      <c r="AX35" s="103">
        <f>Debt!AX7+Debt!AX8</f>
        <v/>
      </c>
      <c r="AY35" s="103">
        <f>Debt!AY7+Debt!AY8</f>
        <v/>
      </c>
      <c r="AZ35" s="103">
        <f>Debt!AZ7+Debt!AZ8</f>
        <v/>
      </c>
      <c r="BA35" s="103">
        <f>Debt!BA7+Debt!BA8</f>
        <v/>
      </c>
      <c r="BB35" s="103">
        <f>Debt!BB7+Debt!BB8</f>
        <v/>
      </c>
      <c r="BC35" s="103">
        <f>Debt!BC7+Debt!BC8</f>
        <v/>
      </c>
      <c r="BD35" s="103">
        <f>Debt!BD7+Debt!BD8</f>
        <v/>
      </c>
      <c r="BE35" s="103">
        <f>Debt!BE7+Debt!BE8</f>
        <v/>
      </c>
      <c r="BF35" s="103">
        <f>Debt!BF7+Debt!BF8</f>
        <v/>
      </c>
      <c r="BG35" s="103">
        <f>Debt!BG7+Debt!BG8</f>
        <v/>
      </c>
      <c r="BH35" s="103">
        <f>Debt!BH7+Debt!BH8</f>
        <v/>
      </c>
      <c r="BI35" s="103">
        <f>Debt!BI7+Debt!BI8</f>
        <v/>
      </c>
      <c r="BJ35" s="103">
        <f>Debt!BJ7+Debt!BJ8</f>
        <v/>
      </c>
      <c r="BK35" s="103">
        <f>Debt!BK7+Debt!BK8</f>
        <v/>
      </c>
      <c r="BL35" s="103">
        <f>Debt!BL7+Debt!BL8</f>
        <v/>
      </c>
      <c r="BM35" s="103">
        <f>Debt!BM7+Debt!BM8</f>
        <v/>
      </c>
      <c r="BN35" s="103">
        <f>Debt!BN7+Debt!BN8</f>
        <v/>
      </c>
      <c r="BO35" s="103">
        <f>Debt!BO7+Debt!BO8</f>
        <v/>
      </c>
      <c r="BP35" s="103">
        <f>Debt!BP7+Debt!BP8</f>
        <v/>
      </c>
      <c r="BQ35" s="103">
        <f>Debt!BQ7+Debt!BQ8</f>
        <v/>
      </c>
      <c r="BR35" s="103">
        <f>Debt!BR7+Debt!BR8</f>
        <v/>
      </c>
      <c r="BS35" s="103">
        <f>Debt!BS7+Debt!BS8</f>
        <v/>
      </c>
      <c r="BT35" s="103">
        <f>Debt!BT7+Debt!BT8</f>
        <v/>
      </c>
      <c r="BU35" s="103">
        <f>Debt!BU7+Debt!BU8</f>
        <v/>
      </c>
      <c r="BV35" s="103">
        <f>Debt!BV7+Debt!BV8</f>
        <v/>
      </c>
      <c r="BW35" s="103">
        <f>Debt!BW7+Debt!BW8</f>
        <v/>
      </c>
    </row>
    <row r="36">
      <c r="A36" s="1" t="inlineStr">
        <is>
          <t>Pre-tax income</t>
        </is>
      </c>
      <c r="D36" s="28">
        <f>D33-D35</f>
        <v/>
      </c>
      <c r="E36" s="28">
        <f>E33-E35</f>
        <v/>
      </c>
      <c r="F36" s="28">
        <f>F33-F35</f>
        <v/>
      </c>
      <c r="G36" s="28">
        <f>G33-G35</f>
        <v/>
      </c>
      <c r="H36" s="28">
        <f>H33-H35</f>
        <v/>
      </c>
      <c r="I36" s="28">
        <f>I33-I35</f>
        <v/>
      </c>
      <c r="J36" s="28">
        <f>J33-J35</f>
        <v/>
      </c>
      <c r="K36" s="28">
        <f>K33-K35</f>
        <v/>
      </c>
      <c r="L36" s="28">
        <f>L33-L35</f>
        <v/>
      </c>
      <c r="M36" s="28">
        <f>M33-M35</f>
        <v/>
      </c>
      <c r="N36" s="28">
        <f>N33-N35</f>
        <v/>
      </c>
      <c r="O36" s="28">
        <f>O33-O35</f>
        <v/>
      </c>
      <c r="P36" s="28">
        <f>P33-P35</f>
        <v/>
      </c>
      <c r="Q36" s="28">
        <f>Q33-Q35</f>
        <v/>
      </c>
      <c r="R36" s="28">
        <f>R33-R35</f>
        <v/>
      </c>
      <c r="S36" s="28">
        <f>S33-S35</f>
        <v/>
      </c>
      <c r="T36" s="28">
        <f>T33-T35</f>
        <v/>
      </c>
      <c r="U36" s="28">
        <f>U33-U35</f>
        <v/>
      </c>
      <c r="V36" s="28">
        <f>V33-V35</f>
        <v/>
      </c>
      <c r="W36" s="28">
        <f>W33-W35</f>
        <v/>
      </c>
      <c r="X36" s="28">
        <f>X33-X35</f>
        <v/>
      </c>
      <c r="Y36" s="28">
        <f>Y33-Y35</f>
        <v/>
      </c>
      <c r="Z36" s="28">
        <f>Z33-Z35</f>
        <v/>
      </c>
      <c r="AA36" s="28">
        <f>AA33-AA35</f>
        <v/>
      </c>
      <c r="AB36" s="28">
        <f>AB33-AB35</f>
        <v/>
      </c>
      <c r="AC36" s="28">
        <f>AC33-AC35</f>
        <v/>
      </c>
      <c r="AD36" s="28">
        <f>AD33-AD35</f>
        <v/>
      </c>
      <c r="AE36" s="28">
        <f>AE33-AE35</f>
        <v/>
      </c>
      <c r="AF36" s="28">
        <f>AF33-AF35</f>
        <v/>
      </c>
      <c r="AG36" s="28">
        <f>AG33-AG35</f>
        <v/>
      </c>
      <c r="AH36" s="28">
        <f>AH33-AH35</f>
        <v/>
      </c>
      <c r="AI36" s="28">
        <f>AI33-AI35</f>
        <v/>
      </c>
      <c r="AJ36" s="28">
        <f>AJ33-AJ35</f>
        <v/>
      </c>
      <c r="AK36" s="28">
        <f>AK33-AK35</f>
        <v/>
      </c>
      <c r="AL36" s="28">
        <f>AL33-AL35</f>
        <v/>
      </c>
      <c r="AM36" s="28">
        <f>AM33-AM35</f>
        <v/>
      </c>
      <c r="AN36" s="28">
        <f>AN33-AN35</f>
        <v/>
      </c>
      <c r="AO36" s="28">
        <f>AO33-AO35</f>
        <v/>
      </c>
      <c r="AP36" s="28">
        <f>AP33-AP35</f>
        <v/>
      </c>
      <c r="AQ36" s="28">
        <f>AQ33-AQ35</f>
        <v/>
      </c>
      <c r="AR36" s="28">
        <f>AR33-AR35</f>
        <v/>
      </c>
      <c r="AS36" s="28">
        <f>AS33-AS35</f>
        <v/>
      </c>
      <c r="AT36" s="28">
        <f>AT33-AT35</f>
        <v/>
      </c>
      <c r="AU36" s="28">
        <f>AU33-AU35</f>
        <v/>
      </c>
      <c r="AV36" s="28">
        <f>AV33-AV35</f>
        <v/>
      </c>
      <c r="AW36" s="28">
        <f>AW33-AW35</f>
        <v/>
      </c>
      <c r="AX36" s="28">
        <f>AX33-AX35</f>
        <v/>
      </c>
      <c r="AY36" s="28">
        <f>AY33-AY35</f>
        <v/>
      </c>
      <c r="AZ36" s="28">
        <f>AZ33-AZ35</f>
        <v/>
      </c>
      <c r="BA36" s="28">
        <f>BA33-BA35</f>
        <v/>
      </c>
      <c r="BB36" s="28">
        <f>BB33-BB35</f>
        <v/>
      </c>
      <c r="BC36" s="28">
        <f>BC33-BC35</f>
        <v/>
      </c>
      <c r="BD36" s="28">
        <f>BD33-BD35</f>
        <v/>
      </c>
      <c r="BE36" s="28">
        <f>BE33-BE35</f>
        <v/>
      </c>
      <c r="BF36" s="28">
        <f>BF33-BF35</f>
        <v/>
      </c>
      <c r="BG36" s="28">
        <f>BG33-BG35</f>
        <v/>
      </c>
      <c r="BH36" s="28">
        <f>BH33-BH35</f>
        <v/>
      </c>
      <c r="BI36" s="28">
        <f>BI33-BI35</f>
        <v/>
      </c>
      <c r="BJ36" s="28">
        <f>BJ33-BJ35</f>
        <v/>
      </c>
      <c r="BK36" s="28">
        <f>BK33-BK35</f>
        <v/>
      </c>
      <c r="BL36" s="28">
        <f>BL33-BL35</f>
        <v/>
      </c>
      <c r="BM36" s="28">
        <f>BM33-BM35</f>
        <v/>
      </c>
      <c r="BN36" s="28">
        <f>BN33-BN35</f>
        <v/>
      </c>
      <c r="BO36" s="28">
        <f>BO33-BO35</f>
        <v/>
      </c>
      <c r="BP36" s="28">
        <f>BP33-BP35</f>
        <v/>
      </c>
      <c r="BQ36" s="28">
        <f>BQ33-BQ35</f>
        <v/>
      </c>
      <c r="BR36" s="28">
        <f>BR33-BR35</f>
        <v/>
      </c>
      <c r="BS36" s="28">
        <f>BS33-BS35</f>
        <v/>
      </c>
      <c r="BT36" s="28">
        <f>BT33-BT35</f>
        <v/>
      </c>
      <c r="BU36" s="28">
        <f>BU33-BU35</f>
        <v/>
      </c>
      <c r="BV36" s="28">
        <f>BV33-BV35</f>
        <v/>
      </c>
      <c r="BW36" s="28">
        <f>BW33-BW35</f>
        <v/>
      </c>
    </row>
    <row r="37">
      <c r="A37" t="inlineStr">
        <is>
          <t>Taxes (Assumptions!B5)</t>
        </is>
      </c>
      <c r="D37" s="17">
        <f>MAX(0,D36*Assumptions!$B$5)</f>
        <v/>
      </c>
      <c r="E37" s="17">
        <f>MAX(0,E36*Assumptions!$B$5)</f>
        <v/>
      </c>
      <c r="F37" s="17">
        <f>MAX(0,F36*Assumptions!$B$5)</f>
        <v/>
      </c>
      <c r="G37" s="17">
        <f>MAX(0,G36*Assumptions!$B$5)</f>
        <v/>
      </c>
      <c r="H37" s="17">
        <f>MAX(0,H36*Assumptions!$B$5)</f>
        <v/>
      </c>
      <c r="I37" s="17">
        <f>MAX(0,I36*Assumptions!$B$5)</f>
        <v/>
      </c>
      <c r="J37" s="17">
        <f>MAX(0,J36*Assumptions!$B$5)</f>
        <v/>
      </c>
      <c r="K37" s="17">
        <f>MAX(0,K36*Assumptions!$B$5)</f>
        <v/>
      </c>
      <c r="L37" s="17">
        <f>MAX(0,L36*Assumptions!$B$5)</f>
        <v/>
      </c>
      <c r="M37" s="17">
        <f>MAX(0,M36*Assumptions!$B$5)</f>
        <v/>
      </c>
      <c r="N37" s="17">
        <f>MAX(0,N36*Assumptions!$B$5)</f>
        <v/>
      </c>
      <c r="O37" s="17">
        <f>MAX(0,O36*Assumptions!$B$5)</f>
        <v/>
      </c>
      <c r="P37" s="17">
        <f>MAX(0,P36*Assumptions!$B$5)</f>
        <v/>
      </c>
      <c r="Q37" s="17">
        <f>MAX(0,Q36*Assumptions!$B$5)</f>
        <v/>
      </c>
      <c r="R37" s="17">
        <f>MAX(0,R36*Assumptions!$B$5)</f>
        <v/>
      </c>
      <c r="S37" s="17">
        <f>MAX(0,S36*Assumptions!$B$5)</f>
        <v/>
      </c>
      <c r="T37" s="17">
        <f>MAX(0,T36*Assumptions!$B$5)</f>
        <v/>
      </c>
      <c r="U37" s="17">
        <f>MAX(0,U36*Assumptions!$B$5)</f>
        <v/>
      </c>
      <c r="V37" s="17">
        <f>MAX(0,V36*Assumptions!$B$5)</f>
        <v/>
      </c>
      <c r="W37" s="17">
        <f>MAX(0,W36*Assumptions!$B$5)</f>
        <v/>
      </c>
      <c r="X37" s="17">
        <f>MAX(0,X36*Assumptions!$B$5)</f>
        <v/>
      </c>
      <c r="Y37" s="17">
        <f>MAX(0,Y36*Assumptions!$B$5)</f>
        <v/>
      </c>
      <c r="Z37" s="17">
        <f>MAX(0,Z36*Assumptions!$B$5)</f>
        <v/>
      </c>
      <c r="AA37" s="17">
        <f>MAX(0,AA36*Assumptions!$B$5)</f>
        <v/>
      </c>
      <c r="AB37" s="17">
        <f>MAX(0,AB36*Assumptions!$B$5)</f>
        <v/>
      </c>
      <c r="AC37" s="17">
        <f>MAX(0,AC36*Assumptions!$B$5)</f>
        <v/>
      </c>
      <c r="AD37" s="17">
        <f>MAX(0,AD36*Assumptions!$B$5)</f>
        <v/>
      </c>
      <c r="AE37" s="17">
        <f>MAX(0,AE36*Assumptions!$B$5)</f>
        <v/>
      </c>
      <c r="AF37" s="17">
        <f>MAX(0,AF36*Assumptions!$B$5)</f>
        <v/>
      </c>
      <c r="AG37" s="17">
        <f>MAX(0,AG36*Assumptions!$B$5)</f>
        <v/>
      </c>
      <c r="AH37" s="17">
        <f>MAX(0,AH36*Assumptions!$B$5)</f>
        <v/>
      </c>
      <c r="AI37" s="17">
        <f>MAX(0,AI36*Assumptions!$B$5)</f>
        <v/>
      </c>
      <c r="AJ37" s="17">
        <f>MAX(0,AJ36*Assumptions!$B$5)</f>
        <v/>
      </c>
      <c r="AK37" s="17">
        <f>MAX(0,AK36*Assumptions!$B$5)</f>
        <v/>
      </c>
      <c r="AL37" s="17">
        <f>MAX(0,AL36*Assumptions!$B$5)</f>
        <v/>
      </c>
      <c r="AM37" s="17">
        <f>MAX(0,AM36*Assumptions!$B$5)</f>
        <v/>
      </c>
      <c r="AN37" s="17">
        <f>MAX(0,AN36*Assumptions!$B$5)</f>
        <v/>
      </c>
      <c r="AO37" s="17">
        <f>MAX(0,AO36*Assumptions!$B$5)</f>
        <v/>
      </c>
      <c r="AP37" s="17">
        <f>MAX(0,AP36*Assumptions!$B$5)</f>
        <v/>
      </c>
      <c r="AQ37" s="17">
        <f>MAX(0,AQ36*Assumptions!$B$5)</f>
        <v/>
      </c>
      <c r="AR37" s="17">
        <f>MAX(0,AR36*Assumptions!$B$5)</f>
        <v/>
      </c>
      <c r="AS37" s="17">
        <f>MAX(0,AS36*Assumptions!$B$5)</f>
        <v/>
      </c>
      <c r="AT37" s="17">
        <f>MAX(0,AT36*Assumptions!$B$5)</f>
        <v/>
      </c>
      <c r="AU37" s="17">
        <f>MAX(0,AU36*Assumptions!$B$5)</f>
        <v/>
      </c>
      <c r="AV37" s="17">
        <f>MAX(0,AV36*Assumptions!$B$5)</f>
        <v/>
      </c>
      <c r="AW37" s="17">
        <f>MAX(0,AW36*Assumptions!$B$5)</f>
        <v/>
      </c>
      <c r="AX37" s="17">
        <f>MAX(0,AX36*Assumptions!$B$5)</f>
        <v/>
      </c>
      <c r="AY37" s="17">
        <f>MAX(0,AY36*Assumptions!$B$5)</f>
        <v/>
      </c>
      <c r="AZ37" s="17">
        <f>MAX(0,AZ36*Assumptions!$B$5)</f>
        <v/>
      </c>
      <c r="BA37" s="17">
        <f>MAX(0,BA36*Assumptions!$B$5)</f>
        <v/>
      </c>
      <c r="BB37" s="17">
        <f>MAX(0,BB36*Assumptions!$B$5)</f>
        <v/>
      </c>
      <c r="BC37" s="17">
        <f>MAX(0,BC36*Assumptions!$B$5)</f>
        <v/>
      </c>
      <c r="BD37" s="17">
        <f>MAX(0,BD36*Assumptions!$B$5)</f>
        <v/>
      </c>
      <c r="BE37" s="17">
        <f>MAX(0,BE36*Assumptions!$B$5)</f>
        <v/>
      </c>
      <c r="BF37" s="17">
        <f>MAX(0,BF36*Assumptions!$B$5)</f>
        <v/>
      </c>
      <c r="BG37" s="17">
        <f>MAX(0,BG36*Assumptions!$B$5)</f>
        <v/>
      </c>
      <c r="BH37" s="17">
        <f>MAX(0,BH36*Assumptions!$B$5)</f>
        <v/>
      </c>
      <c r="BI37" s="17">
        <f>MAX(0,BI36*Assumptions!$B$5)</f>
        <v/>
      </c>
      <c r="BJ37" s="17">
        <f>MAX(0,BJ36*Assumptions!$B$5)</f>
        <v/>
      </c>
      <c r="BK37" s="17">
        <f>MAX(0,BK36*Assumptions!$B$5)</f>
        <v/>
      </c>
      <c r="BL37" s="17">
        <f>MAX(0,BL36*Assumptions!$B$5)</f>
        <v/>
      </c>
      <c r="BM37" s="17">
        <f>MAX(0,BM36*Assumptions!$B$5)</f>
        <v/>
      </c>
      <c r="BN37" s="17">
        <f>MAX(0,BN36*Assumptions!$B$5)</f>
        <v/>
      </c>
      <c r="BO37" s="17">
        <f>MAX(0,BO36*Assumptions!$B$5)</f>
        <v/>
      </c>
      <c r="BP37" s="17">
        <f>MAX(0,BP36*Assumptions!$B$5)</f>
        <v/>
      </c>
      <c r="BQ37" s="17">
        <f>MAX(0,BQ36*Assumptions!$B$5)</f>
        <v/>
      </c>
      <c r="BR37" s="17">
        <f>MAX(0,BR36*Assumptions!$B$5)</f>
        <v/>
      </c>
      <c r="BS37" s="17">
        <f>MAX(0,BS36*Assumptions!$B$5)</f>
        <v/>
      </c>
      <c r="BT37" s="17">
        <f>MAX(0,BT36*Assumptions!$B$5)</f>
        <v/>
      </c>
      <c r="BU37" s="17">
        <f>MAX(0,BU36*Assumptions!$B$5)</f>
        <v/>
      </c>
      <c r="BV37" s="17">
        <f>MAX(0,BV36*Assumptions!$B$5)</f>
        <v/>
      </c>
      <c r="BW37" s="17">
        <f>MAX(0,BW36*Assumptions!$B$5)</f>
        <v/>
      </c>
    </row>
    <row r="39">
      <c r="A39" s="1" t="inlineStr">
        <is>
          <t>Net income</t>
        </is>
      </c>
      <c r="D39" s="101">
        <f>D36-D37</f>
        <v/>
      </c>
      <c r="E39" s="101">
        <f>E36-E37</f>
        <v/>
      </c>
      <c r="F39" s="101">
        <f>F36-F37</f>
        <v/>
      </c>
      <c r="G39" s="101">
        <f>G36-G37</f>
        <v/>
      </c>
      <c r="H39" s="101">
        <f>H36-H37</f>
        <v/>
      </c>
      <c r="I39" s="101">
        <f>I36-I37</f>
        <v/>
      </c>
      <c r="J39" s="101">
        <f>J36-J37</f>
        <v/>
      </c>
      <c r="K39" s="101">
        <f>K36-K37</f>
        <v/>
      </c>
      <c r="L39" s="101">
        <f>L36-L37</f>
        <v/>
      </c>
      <c r="M39" s="101">
        <f>M36-M37</f>
        <v/>
      </c>
      <c r="N39" s="101">
        <f>N36-N37</f>
        <v/>
      </c>
      <c r="O39" s="101">
        <f>O36-O37</f>
        <v/>
      </c>
      <c r="P39" s="101">
        <f>P36-P37</f>
        <v/>
      </c>
      <c r="Q39" s="101">
        <f>Q36-Q37</f>
        <v/>
      </c>
      <c r="R39" s="101">
        <f>R36-R37</f>
        <v/>
      </c>
      <c r="S39" s="101">
        <f>S36-S37</f>
        <v/>
      </c>
      <c r="T39" s="101">
        <f>T36-T37</f>
        <v/>
      </c>
      <c r="U39" s="101">
        <f>U36-U37</f>
        <v/>
      </c>
      <c r="V39" s="101">
        <f>V36-V37</f>
        <v/>
      </c>
      <c r="W39" s="101">
        <f>W36-W37</f>
        <v/>
      </c>
      <c r="X39" s="101">
        <f>X36-X37</f>
        <v/>
      </c>
      <c r="Y39" s="101">
        <f>Y36-Y37</f>
        <v/>
      </c>
      <c r="Z39" s="101">
        <f>Z36-Z37</f>
        <v/>
      </c>
      <c r="AA39" s="101">
        <f>AA36-AA37</f>
        <v/>
      </c>
      <c r="AB39" s="101">
        <f>AB36-AB37</f>
        <v/>
      </c>
      <c r="AC39" s="101">
        <f>AC36-AC37</f>
        <v/>
      </c>
      <c r="AD39" s="101">
        <f>AD36-AD37</f>
        <v/>
      </c>
      <c r="AE39" s="101">
        <f>AE36-AE37</f>
        <v/>
      </c>
      <c r="AF39" s="101">
        <f>AF36-AF37</f>
        <v/>
      </c>
      <c r="AG39" s="101">
        <f>AG36-AG37</f>
        <v/>
      </c>
      <c r="AH39" s="101">
        <f>AH36-AH37</f>
        <v/>
      </c>
      <c r="AI39" s="101">
        <f>AI36-AI37</f>
        <v/>
      </c>
      <c r="AJ39" s="101">
        <f>AJ36-AJ37</f>
        <v/>
      </c>
      <c r="AK39" s="101">
        <f>AK36-AK37</f>
        <v/>
      </c>
      <c r="AL39" s="101">
        <f>AL36-AL37</f>
        <v/>
      </c>
      <c r="AM39" s="101">
        <f>AM36-AM37</f>
        <v/>
      </c>
      <c r="AN39" s="101">
        <f>AN36-AN37</f>
        <v/>
      </c>
      <c r="AO39" s="101">
        <f>AO36-AO37</f>
        <v/>
      </c>
      <c r="AP39" s="101">
        <f>AP36-AP37</f>
        <v/>
      </c>
      <c r="AQ39" s="101">
        <f>AQ36-AQ37</f>
        <v/>
      </c>
      <c r="AR39" s="101">
        <f>AR36-AR37</f>
        <v/>
      </c>
      <c r="AS39" s="101">
        <f>AS36-AS37</f>
        <v/>
      </c>
      <c r="AT39" s="101">
        <f>AT36-AT37</f>
        <v/>
      </c>
      <c r="AU39" s="101">
        <f>AU36-AU37</f>
        <v/>
      </c>
      <c r="AV39" s="101">
        <f>AV36-AV37</f>
        <v/>
      </c>
      <c r="AW39" s="101">
        <f>AW36-AW37</f>
        <v/>
      </c>
      <c r="AX39" s="101">
        <f>AX36-AX37</f>
        <v/>
      </c>
      <c r="AY39" s="101">
        <f>AY36-AY37</f>
        <v/>
      </c>
      <c r="AZ39" s="101">
        <f>AZ36-AZ37</f>
        <v/>
      </c>
      <c r="BA39" s="101">
        <f>BA36-BA37</f>
        <v/>
      </c>
      <c r="BB39" s="101">
        <f>BB36-BB37</f>
        <v/>
      </c>
      <c r="BC39" s="101">
        <f>BC36-BC37</f>
        <v/>
      </c>
      <c r="BD39" s="101">
        <f>BD36-BD37</f>
        <v/>
      </c>
      <c r="BE39" s="101">
        <f>BE36-BE37</f>
        <v/>
      </c>
      <c r="BF39" s="101">
        <f>BF36-BF37</f>
        <v/>
      </c>
      <c r="BG39" s="101">
        <f>BG36-BG37</f>
        <v/>
      </c>
      <c r="BH39" s="101">
        <f>BH36-BH37</f>
        <v/>
      </c>
      <c r="BI39" s="101">
        <f>BI36-BI37</f>
        <v/>
      </c>
      <c r="BJ39" s="101">
        <f>BJ36-BJ37</f>
        <v/>
      </c>
      <c r="BK39" s="101">
        <f>BK36-BK37</f>
        <v/>
      </c>
      <c r="BL39" s="101">
        <f>BL36-BL37</f>
        <v/>
      </c>
      <c r="BM39" s="101">
        <f>BM36-BM37</f>
        <v/>
      </c>
      <c r="BN39" s="101">
        <f>BN36-BN37</f>
        <v/>
      </c>
      <c r="BO39" s="101">
        <f>BO36-BO37</f>
        <v/>
      </c>
      <c r="BP39" s="101">
        <f>BP36-BP37</f>
        <v/>
      </c>
      <c r="BQ39" s="101">
        <f>BQ36-BQ37</f>
        <v/>
      </c>
      <c r="BR39" s="101">
        <f>BR36-BR37</f>
        <v/>
      </c>
      <c r="BS39" s="101">
        <f>BS36-BS37</f>
        <v/>
      </c>
      <c r="BT39" s="101">
        <f>BT36-BT37</f>
        <v/>
      </c>
      <c r="BU39" s="101">
        <f>BU36-BU37</f>
        <v/>
      </c>
      <c r="BV39" s="101">
        <f>BV36-BV37</f>
        <v/>
      </c>
      <c r="BW39" s="101">
        <f>BW36-BW37</f>
        <v/>
      </c>
    </row>
    <row r="50">
      <c r="A50" s="118" t="inlineStr">
        <is>
          <t>BALANCE SHEET</t>
        </is>
      </c>
    </row>
    <row r="51">
      <c r="A51" s="115" t="inlineStr">
        <is>
          <t>FY25 EOP anchored to audited Q4 2025 Quarterly Consolidated Report. Forecast: Cash rolls forward by CFS net change; equity by Net Income; operating WC items by FCF deltas. Other items flat.</t>
        </is>
      </c>
    </row>
    <row r="52">
      <c r="B52" s="119" t="inlineStr">
        <is>
          <t>2024A</t>
        </is>
      </c>
      <c r="C52" s="119" t="inlineStr">
        <is>
          <t>2025E</t>
        </is>
      </c>
      <c r="D52" s="119" t="inlineStr">
        <is>
          <t>2026E</t>
        </is>
      </c>
      <c r="E52" s="119" t="inlineStr">
        <is>
          <t>2027E</t>
        </is>
      </c>
      <c r="F52" s="119" t="inlineStr">
        <is>
          <t>2028E</t>
        </is>
      </c>
      <c r="G52" s="119" t="inlineStr">
        <is>
          <t>2029E</t>
        </is>
      </c>
      <c r="H52" s="119" t="inlineStr">
        <is>
          <t>2030E</t>
        </is>
      </c>
    </row>
    <row r="54">
      <c r="A54" s="120" t="inlineStr">
        <is>
          <t>CURRENT ASSETS</t>
        </is>
      </c>
    </row>
    <row r="55">
      <c r="A55" s="87" t="inlineStr">
        <is>
          <t xml:space="preserve">  Bank Balances</t>
        </is>
      </c>
      <c r="C55" s="121" t="n">
        <v>168791</v>
      </c>
      <c r="D55" s="121">
        <f>C55+D128</f>
        <v/>
      </c>
      <c r="E55" s="121">
        <f>D55+E128</f>
        <v/>
      </c>
      <c r="F55" s="121">
        <f>E55+F128</f>
        <v/>
      </c>
      <c r="G55" s="121">
        <f>F55+G128</f>
        <v/>
      </c>
      <c r="H55" s="121">
        <f>G55+H128</f>
        <v/>
      </c>
    </row>
    <row r="56">
      <c r="A56" s="87" t="inlineStr">
        <is>
          <t xml:space="preserve">  Due from (to) Related</t>
        </is>
      </c>
      <c r="C56" s="121" t="n">
        <v>10453576</v>
      </c>
      <c r="D56" s="121">
        <f>C56</f>
        <v/>
      </c>
      <c r="E56" s="121">
        <f>D56</f>
        <v/>
      </c>
      <c r="F56" s="121">
        <f>E56</f>
        <v/>
      </c>
      <c r="G56" s="121">
        <f>F56</f>
        <v/>
      </c>
      <c r="H56" s="121">
        <f>G56</f>
        <v/>
      </c>
    </row>
    <row r="57">
      <c r="A57" s="87" t="inlineStr">
        <is>
          <t xml:space="preserve">  Accounts Receivable</t>
        </is>
      </c>
      <c r="C57" s="121" t="n">
        <v>1188191</v>
      </c>
      <c r="D57" s="121">
        <f>C57-'Free Cash Flow'!C12</f>
        <v/>
      </c>
      <c r="E57" s="121">
        <f>D57-'Free Cash Flow'!D12</f>
        <v/>
      </c>
      <c r="F57" s="121">
        <f>E57-'Free Cash Flow'!E12</f>
        <v/>
      </c>
      <c r="G57" s="121">
        <f>F57-'Free Cash Flow'!F12</f>
        <v/>
      </c>
      <c r="H57" s="121">
        <f>G57-'Free Cash Flow'!G12</f>
        <v/>
      </c>
    </row>
    <row r="58">
      <c r="A58" s="87" t="inlineStr">
        <is>
          <t xml:space="preserve">  Claims Reserve</t>
        </is>
      </c>
      <c r="C58" s="121" t="n">
        <v>1258805</v>
      </c>
      <c r="D58" s="121">
        <f>C58</f>
        <v/>
      </c>
      <c r="E58" s="121">
        <f>D58</f>
        <v/>
      </c>
      <c r="F58" s="121">
        <f>E58</f>
        <v/>
      </c>
      <c r="G58" s="121">
        <f>F58</f>
        <v/>
      </c>
      <c r="H58" s="121">
        <f>G58</f>
        <v/>
      </c>
    </row>
    <row r="59">
      <c r="A59" s="87" t="inlineStr">
        <is>
          <t xml:space="preserve">  CNB CD 21185</t>
        </is>
      </c>
      <c r="C59" s="121" t="n">
        <v>15000000</v>
      </c>
      <c r="D59" s="121">
        <f>C59</f>
        <v/>
      </c>
      <c r="E59" s="121">
        <f>D59</f>
        <v/>
      </c>
      <c r="F59" s="121">
        <f>E59</f>
        <v/>
      </c>
      <c r="G59" s="121">
        <f>F59</f>
        <v/>
      </c>
      <c r="H59" s="121">
        <f>G59</f>
        <v/>
      </c>
    </row>
    <row r="60">
      <c r="A60" s="87" t="inlineStr">
        <is>
          <t xml:space="preserve">  Employee cash advances</t>
        </is>
      </c>
      <c r="C60" s="121" t="n">
        <v>1800</v>
      </c>
      <c r="D60" s="121">
        <f>C60</f>
        <v/>
      </c>
      <c r="E60" s="121">
        <f>D60</f>
        <v/>
      </c>
      <c r="F60" s="121">
        <f>E60</f>
        <v/>
      </c>
      <c r="G60" s="121">
        <f>F60</f>
        <v/>
      </c>
      <c r="H60" s="121">
        <f>G60</f>
        <v/>
      </c>
    </row>
    <row r="61">
      <c r="A61" s="87" t="inlineStr">
        <is>
          <t xml:space="preserve">  Lease Deposits</t>
        </is>
      </c>
      <c r="C61" s="121" t="n">
        <v>108668</v>
      </c>
      <c r="D61" s="121">
        <f>C61</f>
        <v/>
      </c>
      <c r="E61" s="121">
        <f>D61</f>
        <v/>
      </c>
      <c r="F61" s="121">
        <f>E61</f>
        <v/>
      </c>
      <c r="G61" s="121">
        <f>F61</f>
        <v/>
      </c>
      <c r="H61" s="121">
        <f>G61</f>
        <v/>
      </c>
    </row>
    <row r="62">
      <c r="A62" s="87" t="inlineStr">
        <is>
          <t xml:space="preserve">  MEPCO Reserve</t>
        </is>
      </c>
      <c r="C62" s="121" t="n">
        <v>149203891</v>
      </c>
      <c r="D62" s="121">
        <f>C62-'Free Cash Flow'!C13</f>
        <v/>
      </c>
      <c r="E62" s="121">
        <f>D62-'Free Cash Flow'!D13</f>
        <v/>
      </c>
      <c r="F62" s="121">
        <f>E62-'Free Cash Flow'!E13</f>
        <v/>
      </c>
      <c r="G62" s="121">
        <f>F62-'Free Cash Flow'!F13</f>
        <v/>
      </c>
      <c r="H62" s="121">
        <f>G62-'Free Cash Flow'!G13</f>
        <v/>
      </c>
    </row>
    <row r="63">
      <c r="A63" s="87" t="inlineStr">
        <is>
          <t xml:space="preserve">  Merchant Reserve</t>
        </is>
      </c>
      <c r="C63" s="121" t="n">
        <v>156667</v>
      </c>
      <c r="D63" s="121">
        <f>C63</f>
        <v/>
      </c>
      <c r="E63" s="121">
        <f>D63</f>
        <v/>
      </c>
      <c r="F63" s="121">
        <f>E63</f>
        <v/>
      </c>
      <c r="G63" s="121">
        <f>F63</f>
        <v/>
      </c>
      <c r="H63" s="121">
        <f>G63</f>
        <v/>
      </c>
    </row>
    <row r="64">
      <c r="A64" s="122" t="inlineStr">
        <is>
          <t>Total Current Assets</t>
        </is>
      </c>
      <c r="C64" s="123">
        <f>SUM(C55,C56,C57,C58,C59,C60,C61,C62,C63)</f>
        <v/>
      </c>
      <c r="D64" s="123">
        <f>SUM(D55,D56,D57,D58,D59,D60,D61,D62,D63)</f>
        <v/>
      </c>
      <c r="E64" s="123">
        <f>SUM(E55,E56,E57,E58,E59,E60,E61,E62,E63)</f>
        <v/>
      </c>
      <c r="F64" s="123">
        <f>SUM(F55,F56,F57,F58,F59,F60,F61,F62,F63)</f>
        <v/>
      </c>
      <c r="G64" s="123">
        <f>SUM(G55,G56,G57,G58,G59,G60,G61,G62,G63)</f>
        <v/>
      </c>
      <c r="H64" s="123">
        <f>SUM(H55,H56,H57,H58,H59,H60,H61,H62,H63)</f>
        <v/>
      </c>
    </row>
    <row r="66">
      <c r="A66" s="120" t="inlineStr">
        <is>
          <t>NON-CURRENT ASSETS</t>
        </is>
      </c>
    </row>
    <row r="67">
      <c r="A67" s="87" t="inlineStr">
        <is>
          <t xml:space="preserve">  Computers</t>
        </is>
      </c>
      <c r="C67" s="121" t="n">
        <v>203539</v>
      </c>
      <c r="D67" s="121">
        <f>C67</f>
        <v/>
      </c>
      <c r="E67" s="121">
        <f>D67</f>
        <v/>
      </c>
      <c r="F67" s="121">
        <f>E67</f>
        <v/>
      </c>
      <c r="G67" s="121">
        <f>F67</f>
        <v/>
      </c>
      <c r="H67" s="121">
        <f>G67</f>
        <v/>
      </c>
    </row>
    <row r="68">
      <c r="A68" s="87" t="inlineStr">
        <is>
          <t xml:space="preserve">  CRM &amp; WebApp</t>
        </is>
      </c>
      <c r="C68" s="121" t="n">
        <v>547870</v>
      </c>
      <c r="D68" s="121">
        <f>C68</f>
        <v/>
      </c>
      <c r="E68" s="121">
        <f>D68</f>
        <v/>
      </c>
      <c r="F68" s="121">
        <f>E68</f>
        <v/>
      </c>
      <c r="G68" s="121">
        <f>F68</f>
        <v/>
      </c>
      <c r="H68" s="121">
        <f>G68</f>
        <v/>
      </c>
    </row>
    <row r="69">
      <c r="A69" s="87" t="inlineStr">
        <is>
          <t xml:space="preserve">  CX Startup &amp; organizational costs</t>
        </is>
      </c>
      <c r="C69" s="121" t="n">
        <v>5082877</v>
      </c>
      <c r="D69" s="121">
        <f>C69-'Free Cash Flow'!C18</f>
        <v/>
      </c>
      <c r="E69" s="121">
        <f>D69-'Free Cash Flow'!D18</f>
        <v/>
      </c>
      <c r="F69" s="121">
        <f>E69-'Free Cash Flow'!E18</f>
        <v/>
      </c>
      <c r="G69" s="121">
        <f>F69-'Free Cash Flow'!F18</f>
        <v/>
      </c>
      <c r="H69" s="121">
        <f>G69-'Free Cash Flow'!G18</f>
        <v/>
      </c>
    </row>
    <row r="70">
      <c r="A70" s="87" t="inlineStr">
        <is>
          <t xml:space="preserve">  Furniture &amp; fixtures</t>
        </is>
      </c>
      <c r="C70" s="121" t="n">
        <v>139698</v>
      </c>
      <c r="D70" s="121">
        <f>C70</f>
        <v/>
      </c>
      <c r="E70" s="121">
        <f>D70</f>
        <v/>
      </c>
      <c r="F70" s="121">
        <f>E70</f>
        <v/>
      </c>
      <c r="G70" s="121">
        <f>F70</f>
        <v/>
      </c>
      <c r="H70" s="121">
        <f>G70</f>
        <v/>
      </c>
    </row>
    <row r="71">
      <c r="A71" s="87" t="inlineStr">
        <is>
          <t xml:space="preserve">  Security deposits</t>
        </is>
      </c>
      <c r="C71" s="121" t="n">
        <v>187166</v>
      </c>
      <c r="D71" s="121">
        <f>C71</f>
        <v/>
      </c>
      <c r="E71" s="121">
        <f>D71</f>
        <v/>
      </c>
      <c r="F71" s="121">
        <f>E71</f>
        <v/>
      </c>
      <c r="G71" s="121">
        <f>F71</f>
        <v/>
      </c>
      <c r="H71" s="121">
        <f>G71</f>
        <v/>
      </c>
    </row>
    <row r="72">
      <c r="A72" s="122" t="inlineStr">
        <is>
          <t>Total Non-Current Assets</t>
        </is>
      </c>
      <c r="C72" s="123">
        <f>SUM(C67,C68,C69,C70,C71)</f>
        <v/>
      </c>
      <c r="D72" s="123">
        <f>SUM(D67,D68,D69,D70,D71)</f>
        <v/>
      </c>
      <c r="E72" s="123">
        <f>SUM(E67,E68,E69,E70,E71)</f>
        <v/>
      </c>
      <c r="F72" s="123">
        <f>SUM(F67,F68,F69,F70,F71)</f>
        <v/>
      </c>
      <c r="G72" s="123">
        <f>SUM(G67,G68,G69,G70,G71)</f>
        <v/>
      </c>
      <c r="H72" s="123">
        <f>SUM(H67,H68,H69,H70,H71)</f>
        <v/>
      </c>
    </row>
    <row r="74">
      <c r="A74" s="124" t="inlineStr">
        <is>
          <t>TOTAL ASSETS</t>
        </is>
      </c>
      <c r="C74" s="125">
        <f>C64+C72</f>
        <v/>
      </c>
      <c r="D74" s="125">
        <f>D64+D72</f>
        <v/>
      </c>
      <c r="E74" s="125">
        <f>E64+E72</f>
        <v/>
      </c>
      <c r="F74" s="125">
        <f>F64+F72</f>
        <v/>
      </c>
      <c r="G74" s="125">
        <f>G64+G72</f>
        <v/>
      </c>
      <c r="H74" s="125">
        <f>H64+H72</f>
        <v/>
      </c>
    </row>
    <row r="76">
      <c r="A76" s="120" t="inlineStr">
        <is>
          <t>CURRENT LIABILITIES</t>
        </is>
      </c>
    </row>
    <row r="77">
      <c r="A77" s="87" t="inlineStr">
        <is>
          <t xml:space="preserve">  Credit Cards</t>
        </is>
      </c>
      <c r="C77" s="121" t="n">
        <v>106553</v>
      </c>
      <c r="D77" s="121">
        <f>C77</f>
        <v/>
      </c>
      <c r="E77" s="121">
        <f>D77</f>
        <v/>
      </c>
      <c r="F77" s="121">
        <f>E77</f>
        <v/>
      </c>
      <c r="G77" s="121">
        <f>F77</f>
        <v/>
      </c>
      <c r="H77" s="121">
        <f>G77</f>
        <v/>
      </c>
    </row>
    <row r="78">
      <c r="A78" s="87" t="inlineStr">
        <is>
          <t xml:space="preserve">  CNB LOC</t>
        </is>
      </c>
      <c r="C78" s="121" t="n">
        <v>15000000</v>
      </c>
      <c r="D78" s="121">
        <f>C78</f>
        <v/>
      </c>
      <c r="E78" s="121">
        <f>D78</f>
        <v/>
      </c>
      <c r="F78" s="121">
        <f>E78</f>
        <v/>
      </c>
      <c r="G78" s="121">
        <f>F78</f>
        <v/>
      </c>
      <c r="H78" s="121">
        <f>G78</f>
        <v/>
      </c>
    </row>
    <row r="79">
      <c r="A79" s="87" t="inlineStr">
        <is>
          <t xml:space="preserve">  Due to (from)</t>
        </is>
      </c>
      <c r="C79" s="121" t="n">
        <v>58550</v>
      </c>
      <c r="D79" s="121">
        <f>C79</f>
        <v/>
      </c>
      <c r="E79" s="121">
        <f>D79</f>
        <v/>
      </c>
      <c r="F79" s="121">
        <f>E79</f>
        <v/>
      </c>
      <c r="G79" s="121">
        <f>F79</f>
        <v/>
      </c>
      <c r="H79" s="121">
        <f>G79</f>
        <v/>
      </c>
    </row>
    <row r="80">
      <c r="A80" s="87" t="inlineStr">
        <is>
          <t xml:space="preserve">  Payroll Taxes Payable</t>
        </is>
      </c>
      <c r="C80" s="121" t="n">
        <v>-582</v>
      </c>
      <c r="D80" s="121">
        <f>C80</f>
        <v/>
      </c>
      <c r="E80" s="121">
        <f>D80</f>
        <v/>
      </c>
      <c r="F80" s="121">
        <f>E80</f>
        <v/>
      </c>
      <c r="G80" s="121">
        <f>F80</f>
        <v/>
      </c>
      <c r="H80" s="121">
        <f>G80</f>
        <v/>
      </c>
    </row>
    <row r="81">
      <c r="A81" s="87" t="inlineStr">
        <is>
          <t xml:space="preserve">  Unearned VSC Revenue</t>
        </is>
      </c>
      <c r="C81" s="121" t="n">
        <v>91924891</v>
      </c>
      <c r="D81" s="121">
        <f>C81+'Free Cash Flow'!C10</f>
        <v/>
      </c>
      <c r="E81" s="121">
        <f>D81+'Free Cash Flow'!D10</f>
        <v/>
      </c>
      <c r="F81" s="121">
        <f>E81+'Free Cash Flow'!E10</f>
        <v/>
      </c>
      <c r="G81" s="121">
        <f>F81+'Free Cash Flow'!F10</f>
        <v/>
      </c>
      <c r="H81" s="121">
        <f>G81+'Free Cash Flow'!G10</f>
        <v/>
      </c>
    </row>
    <row r="82">
      <c r="A82" s="87" t="inlineStr">
        <is>
          <t xml:space="preserve">  Warranty Claims Liability</t>
        </is>
      </c>
      <c r="C82" s="121" t="n">
        <v>26313869</v>
      </c>
      <c r="D82" s="121">
        <f>C82+'Free Cash Flow'!C11</f>
        <v/>
      </c>
      <c r="E82" s="121">
        <f>D82+'Free Cash Flow'!D11</f>
        <v/>
      </c>
      <c r="F82" s="121">
        <f>E82+'Free Cash Flow'!E11</f>
        <v/>
      </c>
      <c r="G82" s="121">
        <f>F82+'Free Cash Flow'!F11</f>
        <v/>
      </c>
      <c r="H82" s="121">
        <f>G82+'Free Cash Flow'!G11</f>
        <v/>
      </c>
    </row>
    <row r="83">
      <c r="A83" s="122" t="inlineStr">
        <is>
          <t>Total Current Liabilities</t>
        </is>
      </c>
      <c r="C83" s="123">
        <f>SUM(C77,C78,C79,C80,C81,C82)</f>
        <v/>
      </c>
      <c r="D83" s="123">
        <f>SUM(D77,D78,D79,D80,D81,D82)</f>
        <v/>
      </c>
      <c r="E83" s="123">
        <f>SUM(E77,E78,E79,E80,E81,E82)</f>
        <v/>
      </c>
      <c r="F83" s="123">
        <f>SUM(F77,F78,F79,F80,F81,F82)</f>
        <v/>
      </c>
      <c r="G83" s="123">
        <f>SUM(G77,G78,G79,G80,G81,G82)</f>
        <v/>
      </c>
      <c r="H83" s="123">
        <f>SUM(H77,H78,H79,H80,H81,H82)</f>
        <v/>
      </c>
    </row>
    <row r="85">
      <c r="A85" s="120" t="inlineStr">
        <is>
          <t>NON-CURRENT LIABILITIES</t>
        </is>
      </c>
    </row>
    <row r="86">
      <c r="A86" s="87" t="inlineStr">
        <is>
          <t xml:space="preserve">  (none reported)</t>
        </is>
      </c>
      <c r="C86" s="121" t="n">
        <v>0</v>
      </c>
      <c r="D86" s="121">
        <f>C86</f>
        <v/>
      </c>
      <c r="E86" s="121">
        <f>D86</f>
        <v/>
      </c>
      <c r="F86" s="121">
        <f>E86</f>
        <v/>
      </c>
      <c r="G86" s="121">
        <f>F86</f>
        <v/>
      </c>
      <c r="H86" s="121">
        <f>G86</f>
        <v/>
      </c>
    </row>
    <row r="87">
      <c r="A87" s="122" t="inlineStr">
        <is>
          <t>Total Non-Current Liabilities</t>
        </is>
      </c>
      <c r="C87" s="123">
        <f>SUM(C86)</f>
        <v/>
      </c>
      <c r="D87" s="123">
        <f>SUM(D86)</f>
        <v/>
      </c>
      <c r="E87" s="123">
        <f>SUM(E86)</f>
        <v/>
      </c>
      <c r="F87" s="123">
        <f>SUM(F86)</f>
        <v/>
      </c>
      <c r="G87" s="123">
        <f>SUM(G86)</f>
        <v/>
      </c>
      <c r="H87" s="123">
        <f>SUM(H86)</f>
        <v/>
      </c>
    </row>
    <row r="89">
      <c r="A89" s="124" t="inlineStr">
        <is>
          <t>TOTAL LIABILITIES</t>
        </is>
      </c>
      <c r="C89" s="125">
        <f>C83+C87</f>
        <v/>
      </c>
      <c r="D89" s="125">
        <f>D83+D87</f>
        <v/>
      </c>
      <c r="E89" s="125">
        <f>E83+E87</f>
        <v/>
      </c>
      <c r="F89" s="125">
        <f>F83+F87</f>
        <v/>
      </c>
      <c r="G89" s="125">
        <f>G83+G87</f>
        <v/>
      </c>
      <c r="H89" s="125">
        <f>H83+H87</f>
        <v/>
      </c>
    </row>
    <row r="91">
      <c r="A91" s="120" t="inlineStr">
        <is>
          <t>EQUITY</t>
        </is>
      </c>
    </row>
    <row r="92">
      <c r="A92" s="87" t="inlineStr">
        <is>
          <t xml:space="preserve">  Members' equity + Retained earnings</t>
        </is>
      </c>
      <c r="C92" s="121" t="n">
        <v>50298257</v>
      </c>
      <c r="D92" s="121">
        <f>C92+'Financial Summary'!D34</f>
        <v/>
      </c>
      <c r="E92" s="121">
        <f>D92+'Financial Summary'!E34</f>
        <v/>
      </c>
      <c r="F92" s="121">
        <f>E92+'Financial Summary'!F34</f>
        <v/>
      </c>
      <c r="G92" s="121">
        <f>F92+'Financial Summary'!G34</f>
        <v/>
      </c>
      <c r="H92" s="121">
        <f>G92+'Financial Summary'!H34</f>
        <v/>
      </c>
    </row>
    <row r="93">
      <c r="A93" s="122" t="inlineStr">
        <is>
          <t>Total Equity</t>
        </is>
      </c>
      <c r="C93" s="123">
        <f>SUM(C92)</f>
        <v/>
      </c>
      <c r="D93" s="123">
        <f>SUM(D92)</f>
        <v/>
      </c>
      <c r="E93" s="123">
        <f>SUM(E92)</f>
        <v/>
      </c>
      <c r="F93" s="123">
        <f>SUM(F92)</f>
        <v/>
      </c>
      <c r="G93" s="123">
        <f>SUM(G92)</f>
        <v/>
      </c>
      <c r="H93" s="123">
        <f>SUM(H92)</f>
        <v/>
      </c>
    </row>
    <row r="95">
      <c r="A95" s="124" t="inlineStr">
        <is>
          <t>TOTAL LIABILITIES &amp; EQUITY</t>
        </is>
      </c>
      <c r="C95" s="125">
        <f>C89+C93</f>
        <v/>
      </c>
      <c r="D95" s="125">
        <f>D89+D93</f>
        <v/>
      </c>
      <c r="E95" s="125">
        <f>E89+E93</f>
        <v/>
      </c>
      <c r="F95" s="125">
        <f>F89+F93</f>
        <v/>
      </c>
      <c r="G95" s="125">
        <f>G89+G93</f>
        <v/>
      </c>
      <c r="H95" s="125">
        <f>H89+H93</f>
        <v/>
      </c>
    </row>
    <row r="97">
      <c r="A97" s="115" t="inlineStr">
        <is>
          <t>Balance check (Assets − L&amp;E; should = 0)</t>
        </is>
      </c>
      <c r="C97" s="126">
        <f>C74-C95</f>
        <v/>
      </c>
      <c r="D97" s="126">
        <f>D74-D95</f>
        <v/>
      </c>
      <c r="E97" s="126">
        <f>E74-E95</f>
        <v/>
      </c>
      <c r="F97" s="126">
        <f>F74-F95</f>
        <v/>
      </c>
      <c r="G97" s="126">
        <f>G74-G95</f>
        <v/>
      </c>
      <c r="H97" s="126">
        <f>H74-H95</f>
        <v/>
      </c>
    </row>
    <row r="100">
      <c r="A100" s="118" t="inlineStr">
        <is>
          <t>CASH FLOW STATEMENT</t>
        </is>
      </c>
    </row>
    <row r="101">
      <c r="A101" s="115" t="inlineStr">
        <is>
          <t>Indirect method, GAAP format (mirrors V50 Financial Detail rows 182-208). Net Income pulled from Financial Summary R34. Working-capital changes pulled from Free Cash Flow tab.</t>
        </is>
      </c>
    </row>
    <row r="102">
      <c r="B102" s="119" t="inlineStr">
        <is>
          <t>2024A</t>
        </is>
      </c>
      <c r="C102" s="119" t="inlineStr">
        <is>
          <t>2025E</t>
        </is>
      </c>
      <c r="D102" s="119" t="inlineStr">
        <is>
          <t>2026E</t>
        </is>
      </c>
      <c r="E102" s="119" t="inlineStr">
        <is>
          <t>2027E</t>
        </is>
      </c>
      <c r="F102" s="119" t="inlineStr">
        <is>
          <t>2028E</t>
        </is>
      </c>
      <c r="G102" s="119" t="inlineStr">
        <is>
          <t>2029E</t>
        </is>
      </c>
      <c r="H102" s="119" t="inlineStr">
        <is>
          <t>2030E</t>
        </is>
      </c>
    </row>
    <row r="104">
      <c r="A104" s="120" t="inlineStr">
        <is>
          <t>CASH FLOWS FROM OPERATING ACTIVITIES</t>
        </is>
      </c>
    </row>
    <row r="105">
      <c r="A105" s="87" t="inlineStr">
        <is>
          <t xml:space="preserve">  Net Income</t>
        </is>
      </c>
      <c r="C105" s="121">
        <f>'Financial Summary'!C34</f>
        <v/>
      </c>
      <c r="D105" s="121">
        <f>'Financial Summary'!D34</f>
        <v/>
      </c>
      <c r="E105" s="121">
        <f>'Financial Summary'!E34</f>
        <v/>
      </c>
      <c r="F105" s="121">
        <f>'Financial Summary'!F34</f>
        <v/>
      </c>
      <c r="G105" s="121">
        <f>'Financial Summary'!G34</f>
        <v/>
      </c>
      <c r="H105" s="121">
        <f>'Financial Summary'!H34</f>
        <v/>
      </c>
    </row>
    <row r="106">
      <c r="A106" s="87" t="inlineStr">
        <is>
          <t xml:space="preserve">  + Depreciation and amortization</t>
        </is>
      </c>
      <c r="C106" s="121" t="n">
        <v>0</v>
      </c>
      <c r="D106" s="121" t="n">
        <v>0</v>
      </c>
      <c r="E106" s="121" t="n">
        <v>0</v>
      </c>
      <c r="F106" s="121" t="n">
        <v>0</v>
      </c>
      <c r="G106" s="121" t="n">
        <v>0</v>
      </c>
      <c r="H106" s="121" t="n">
        <v>0</v>
      </c>
    </row>
    <row r="107">
      <c r="A107" s="87" t="inlineStr">
        <is>
          <t xml:space="preserve">  + Deferred income taxes</t>
        </is>
      </c>
      <c r="C107" s="121" t="n">
        <v>0</v>
      </c>
      <c r="D107" s="121" t="n">
        <v>0</v>
      </c>
      <c r="E107" s="121" t="n">
        <v>0</v>
      </c>
      <c r="F107" s="121" t="n">
        <v>0</v>
      </c>
      <c r="G107" s="121" t="n">
        <v>0</v>
      </c>
      <c r="H107" s="121" t="n">
        <v>0</v>
      </c>
    </row>
    <row r="108">
      <c r="A108" s="127" t="inlineStr">
        <is>
          <t xml:space="preserve">  Changes in operating working capital:</t>
        </is>
      </c>
    </row>
    <row r="109">
      <c r="A109" s="87" t="inlineStr">
        <is>
          <t xml:space="preserve">    +/− Δ Unearned VSC Revenue</t>
        </is>
      </c>
      <c r="C109" s="121">
        <f>'Free Cash Flow'!B10</f>
        <v/>
      </c>
      <c r="D109" s="121">
        <f>'Free Cash Flow'!C10</f>
        <v/>
      </c>
      <c r="E109" s="121">
        <f>'Free Cash Flow'!D10</f>
        <v/>
      </c>
      <c r="F109" s="121">
        <f>'Free Cash Flow'!E10</f>
        <v/>
      </c>
      <c r="G109" s="121">
        <f>'Free Cash Flow'!F10</f>
        <v/>
      </c>
      <c r="H109" s="121">
        <f>'Free Cash Flow'!G10</f>
        <v/>
      </c>
    </row>
    <row r="110">
      <c r="A110" s="87" t="inlineStr">
        <is>
          <t xml:space="preserve">    +/− Δ Warranty Claims Liability</t>
        </is>
      </c>
      <c r="C110" s="121">
        <f>'Free Cash Flow'!B11</f>
        <v/>
      </c>
      <c r="D110" s="121">
        <f>'Free Cash Flow'!C11</f>
        <v/>
      </c>
      <c r="E110" s="121">
        <f>'Free Cash Flow'!D11</f>
        <v/>
      </c>
      <c r="F110" s="121">
        <f>'Free Cash Flow'!E11</f>
        <v/>
      </c>
      <c r="G110" s="121">
        <f>'Free Cash Flow'!F11</f>
        <v/>
      </c>
      <c r="H110" s="121">
        <f>'Free Cash Flow'!G11</f>
        <v/>
      </c>
    </row>
    <row r="111">
      <c r="A111" s="87" t="inlineStr">
        <is>
          <t xml:space="preserve">    +/− Δ Accounts Receivable</t>
        </is>
      </c>
      <c r="C111" s="121">
        <f>'Free Cash Flow'!B12</f>
        <v/>
      </c>
      <c r="D111" s="121">
        <f>'Free Cash Flow'!C12</f>
        <v/>
      </c>
      <c r="E111" s="121">
        <f>'Free Cash Flow'!D12</f>
        <v/>
      </c>
      <c r="F111" s="121">
        <f>'Free Cash Flow'!E12</f>
        <v/>
      </c>
      <c r="G111" s="121">
        <f>'Free Cash Flow'!F12</f>
        <v/>
      </c>
      <c r="H111" s="121">
        <f>'Free Cash Flow'!G12</f>
        <v/>
      </c>
    </row>
    <row r="112">
      <c r="A112" s="87" t="inlineStr">
        <is>
          <t xml:space="preserve">    +/− Δ Mepco Reserve (working capital drain)</t>
        </is>
      </c>
      <c r="C112" s="121">
        <f>'Free Cash Flow'!B13</f>
        <v/>
      </c>
      <c r="D112" s="121">
        <f>'Free Cash Flow'!C13</f>
        <v/>
      </c>
      <c r="E112" s="121">
        <f>'Free Cash Flow'!D13</f>
        <v/>
      </c>
      <c r="F112" s="121">
        <f>'Free Cash Flow'!E13</f>
        <v/>
      </c>
      <c r="G112" s="121">
        <f>'Free Cash Flow'!F13</f>
        <v/>
      </c>
      <c r="H112" s="121">
        <f>'Free Cash Flow'!G13</f>
        <v/>
      </c>
    </row>
    <row r="113">
      <c r="A113" s="87" t="inlineStr">
        <is>
          <t xml:space="preserve">    +/− Other working capital (not separately modeled — set to 0 for BS balance)</t>
        </is>
      </c>
      <c r="C113" s="121" t="n">
        <v>0</v>
      </c>
      <c r="D113" s="121" t="n">
        <v>0</v>
      </c>
      <c r="E113" s="121" t="n">
        <v>0</v>
      </c>
      <c r="F113" s="121" t="n">
        <v>0</v>
      </c>
      <c r="G113" s="121" t="n">
        <v>0</v>
      </c>
      <c r="H113" s="121" t="n">
        <v>0</v>
      </c>
    </row>
    <row r="114">
      <c r="A114" s="122" t="inlineStr">
        <is>
          <t xml:space="preserve">  Net change in operating working capital</t>
        </is>
      </c>
      <c r="C114" s="121">
        <f>SUM(C109:C113)</f>
        <v/>
      </c>
      <c r="D114" s="121">
        <f>SUM(D109:D113)</f>
        <v/>
      </c>
      <c r="E114" s="121">
        <f>SUM(E109:E113)</f>
        <v/>
      </c>
      <c r="F114" s="121">
        <f>SUM(F109:F113)</f>
        <v/>
      </c>
      <c r="G114" s="121">
        <f>SUM(G109:G113)</f>
        <v/>
      </c>
      <c r="H114" s="121">
        <f>SUM(H109:H113)</f>
        <v/>
      </c>
    </row>
    <row r="115">
      <c r="A115" s="122" t="inlineStr">
        <is>
          <t>Total Cash Flows from Operating Activities</t>
        </is>
      </c>
      <c r="C115" s="121">
        <f>SUM(C105:C107)+C114</f>
        <v/>
      </c>
      <c r="D115" s="121">
        <f>SUM(D105:D107)+D114</f>
        <v/>
      </c>
      <c r="E115" s="121">
        <f>SUM(E105:E107)+E114</f>
        <v/>
      </c>
      <c r="F115" s="121">
        <f>SUM(F105:F107)+F114</f>
        <v/>
      </c>
      <c r="G115" s="121">
        <f>SUM(G105:G107)+G114</f>
        <v/>
      </c>
      <c r="H115" s="121">
        <f>SUM(H105:H107)+H114</f>
        <v/>
      </c>
    </row>
    <row r="117">
      <c r="A117" s="120" t="inlineStr">
        <is>
          <t>CASH FLOWS FROM INVESTING ACTIVITIES</t>
        </is>
      </c>
    </row>
    <row r="118">
      <c r="A118" s="87" t="inlineStr">
        <is>
          <t xml:space="preserve">  − CapEx (computers, CRM, equipment)</t>
        </is>
      </c>
      <c r="C118" s="121">
        <f>'Free Cash Flow'!B18</f>
        <v/>
      </c>
      <c r="D118" s="121">
        <f>'Free Cash Flow'!C18</f>
        <v/>
      </c>
      <c r="E118" s="121">
        <f>'Free Cash Flow'!D18</f>
        <v/>
      </c>
      <c r="F118" s="121">
        <f>'Free Cash Flow'!E18</f>
        <v/>
      </c>
      <c r="G118" s="121">
        <f>'Free Cash Flow'!F18</f>
        <v/>
      </c>
      <c r="H118" s="121">
        <f>'Free Cash Flow'!G18</f>
        <v/>
      </c>
    </row>
    <row r="119">
      <c r="A119" s="87" t="inlineStr">
        <is>
          <t xml:space="preserve">  Other investing activities</t>
        </is>
      </c>
      <c r="C119" s="121" t="n">
        <v>0</v>
      </c>
      <c r="D119" s="121" t="n">
        <v>0</v>
      </c>
      <c r="E119" s="121" t="n">
        <v>0</v>
      </c>
      <c r="F119" s="121" t="n">
        <v>0</v>
      </c>
      <c r="G119" s="121" t="n">
        <v>0</v>
      </c>
      <c r="H119" s="121" t="n">
        <v>0</v>
      </c>
    </row>
    <row r="120">
      <c r="A120" s="122" t="inlineStr">
        <is>
          <t>Total Cash Flows from Investing Activities</t>
        </is>
      </c>
      <c r="C120" s="121">
        <f>SUM(C118:C119)</f>
        <v/>
      </c>
      <c r="D120" s="121">
        <f>SUM(D118:D119)</f>
        <v/>
      </c>
      <c r="E120" s="121">
        <f>SUM(E118:E119)</f>
        <v/>
      </c>
      <c r="F120" s="121">
        <f>SUM(F118:F119)</f>
        <v/>
      </c>
      <c r="G120" s="121">
        <f>SUM(G118:G119)</f>
        <v/>
      </c>
      <c r="H120" s="121">
        <f>SUM(H118:H119)</f>
        <v/>
      </c>
    </row>
    <row r="122">
      <c r="A122" s="120" t="inlineStr">
        <is>
          <t>CASH FLOWS FROM FINANCING ACTIVITIES</t>
        </is>
      </c>
    </row>
    <row r="123">
      <c r="A123" s="87" t="inlineStr">
        <is>
          <t xml:space="preserve">  Long-term borrowings (repayments)</t>
        </is>
      </c>
      <c r="C123" s="121">
        <f>'Free Cash Flow'!B19</f>
        <v/>
      </c>
      <c r="D123" s="121">
        <f>'Free Cash Flow'!C19</f>
        <v/>
      </c>
      <c r="E123" s="121">
        <f>'Free Cash Flow'!D19</f>
        <v/>
      </c>
      <c r="F123" s="121">
        <f>'Free Cash Flow'!E19</f>
        <v/>
      </c>
      <c r="G123" s="121">
        <f>'Free Cash Flow'!F19</f>
        <v/>
      </c>
      <c r="H123" s="121">
        <f>'Free Cash Flow'!G19</f>
        <v/>
      </c>
    </row>
    <row r="124">
      <c r="A124" s="87" t="inlineStr">
        <is>
          <t xml:space="preserve">  Distributions to members</t>
        </is>
      </c>
      <c r="C124" s="121" t="n">
        <v>0</v>
      </c>
      <c r="D124" s="121" t="n">
        <v>0</v>
      </c>
      <c r="E124" s="121" t="n">
        <v>0</v>
      </c>
      <c r="F124" s="121" t="n">
        <v>0</v>
      </c>
      <c r="G124" s="121" t="n">
        <v>0</v>
      </c>
      <c r="H124" s="121" t="n">
        <v>0</v>
      </c>
    </row>
    <row r="125">
      <c r="A125" s="87" t="inlineStr">
        <is>
          <t xml:space="preserve">  Capital contributions</t>
        </is>
      </c>
      <c r="C125" s="121" t="n">
        <v>0</v>
      </c>
      <c r="D125" s="121" t="n">
        <v>0</v>
      </c>
      <c r="E125" s="121" t="n">
        <v>0</v>
      </c>
      <c r="F125" s="121" t="n">
        <v>0</v>
      </c>
      <c r="G125" s="121" t="n">
        <v>0</v>
      </c>
      <c r="H125" s="121" t="n">
        <v>0</v>
      </c>
    </row>
    <row r="126">
      <c r="A126" s="122" t="inlineStr">
        <is>
          <t>Total Cash Flows from Financing Activities</t>
        </is>
      </c>
      <c r="C126" s="121">
        <f>SUM(C123:C125)</f>
        <v/>
      </c>
      <c r="D126" s="121">
        <f>SUM(D123:D125)</f>
        <v/>
      </c>
      <c r="E126" s="121">
        <f>SUM(E123:E125)</f>
        <v/>
      </c>
      <c r="F126" s="121">
        <f>SUM(F123:F125)</f>
        <v/>
      </c>
      <c r="G126" s="121">
        <f>SUM(G123:G125)</f>
        <v/>
      </c>
      <c r="H126" s="121">
        <f>SUM(H123:H125)</f>
        <v/>
      </c>
    </row>
    <row r="128">
      <c r="A128" s="124" t="inlineStr">
        <is>
          <t>NET CHANGE IN CASH</t>
        </is>
      </c>
      <c r="C128" s="121">
        <f>C115+C120+C126</f>
        <v/>
      </c>
      <c r="D128" s="121">
        <f>D115+D120+D126</f>
        <v/>
      </c>
      <c r="E128" s="121">
        <f>E115+E120+E126</f>
        <v/>
      </c>
      <c r="F128" s="121">
        <f>F115+F120+F126</f>
        <v/>
      </c>
      <c r="G128" s="121">
        <f>G115+G120+G126</f>
        <v/>
      </c>
      <c r="H128" s="121">
        <f>H115+H120+H126</f>
        <v/>
      </c>
    </row>
    <row r="130">
      <c r="A130" s="87" t="inlineStr">
        <is>
          <t>Beginning cash</t>
        </is>
      </c>
      <c r="C130" s="121" t="n">
        <v>733378</v>
      </c>
      <c r="D130" s="121">
        <f>C131</f>
        <v/>
      </c>
      <c r="E130" s="121">
        <f>D131</f>
        <v/>
      </c>
      <c r="F130" s="121">
        <f>E131</f>
        <v/>
      </c>
      <c r="G130" s="121">
        <f>F131</f>
        <v/>
      </c>
      <c r="H130" s="121">
        <f>G131</f>
        <v/>
      </c>
    </row>
    <row r="131">
      <c r="A131" s="122" t="inlineStr">
        <is>
          <t>Ending cash</t>
        </is>
      </c>
      <c r="C131" s="121">
        <f>C130+C128</f>
        <v/>
      </c>
      <c r="D131" s="121">
        <f>D130+D128</f>
        <v/>
      </c>
      <c r="E131" s="121">
        <f>E130+E128</f>
        <v/>
      </c>
      <c r="F131" s="121">
        <f>F130+F128</f>
        <v/>
      </c>
      <c r="G131" s="121">
        <f>G130+G128</f>
        <v/>
      </c>
      <c r="H131" s="121">
        <f>H130+H128</f>
        <v/>
      </c>
    </row>
  </sheetData>
  <mergeCells count="4">
    <mergeCell ref="A26:H26"/>
    <mergeCell ref="A16:H16"/>
    <mergeCell ref="A5:H5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/>
  </sheetPr>
  <dimension ref="A1:K12"/>
  <sheetViews>
    <sheetView workbookViewId="0">
      <selection activeCell="A1" sqref="A1:K1"/>
    </sheetView>
  </sheetViews>
  <sheetFormatPr baseColWidth="10" defaultColWidth="8.83203125" defaultRowHeight="15"/>
  <cols>
    <col width="36" customWidth="1" style="50" min="1" max="1"/>
    <col width="14" customWidth="1" style="50" min="2" max="11"/>
  </cols>
  <sheetData>
    <row r="1" ht="24" customHeight="1" s="50">
      <c r="A1" s="95" t="inlineStr">
        <is>
          <t>EBITDA Bridge — NI to Adj EBITDA (Quarterly)</t>
        </is>
      </c>
    </row>
    <row r="2">
      <c r="A2" s="5" t="inlineStr">
        <is>
          <t>NI + tax + interest + D&amp;A + nonrec = Adjusted EBITDA.</t>
        </is>
      </c>
    </row>
    <row r="4">
      <c r="B4" s="1" t="inlineStr">
        <is>
          <t>Q1 2026</t>
        </is>
      </c>
      <c r="C4" s="1" t="inlineStr">
        <is>
          <t>Q2 2026</t>
        </is>
      </c>
      <c r="D4" s="1" t="inlineStr">
        <is>
          <t>Q3 2026</t>
        </is>
      </c>
      <c r="E4" s="1" t="inlineStr">
        <is>
          <t>Q4 2026</t>
        </is>
      </c>
      <c r="F4" s="1" t="inlineStr">
        <is>
          <t>FY 2025</t>
        </is>
      </c>
      <c r="G4" s="1" t="inlineStr">
        <is>
          <t>FY 2026</t>
        </is>
      </c>
      <c r="H4" s="1" t="inlineStr">
        <is>
          <t>FY 2027</t>
        </is>
      </c>
      <c r="I4" s="1" t="inlineStr">
        <is>
          <t>FY 2028</t>
        </is>
      </c>
      <c r="J4" s="1" t="inlineStr">
        <is>
          <t>FY 2029</t>
        </is>
      </c>
      <c r="K4" s="1" t="inlineStr">
        <is>
          <t>FY 2030</t>
        </is>
      </c>
    </row>
    <row r="5">
      <c r="A5" t="inlineStr">
        <is>
          <t>Net income</t>
        </is>
      </c>
      <c r="B5" s="103">
        <f>SUM('Financial Detail'!P39:R39)</f>
        <v/>
      </c>
      <c r="C5" s="103">
        <f>SUM('Financial Detail'!S39:U39)</f>
        <v/>
      </c>
      <c r="D5" s="103">
        <f>SUM('Financial Detail'!V39:X39)</f>
        <v/>
      </c>
      <c r="E5" s="103">
        <f>SUM('Financial Detail'!Y39:AA39)</f>
        <v/>
      </c>
      <c r="F5" s="103">
        <f>SUM('Financial Detail'!D39:O39)</f>
        <v/>
      </c>
      <c r="G5" s="103">
        <f>SUM('Financial Detail'!P39:AA39)</f>
        <v/>
      </c>
      <c r="H5" s="103">
        <f>SUM('Financial Detail'!AB39:AM39)</f>
        <v/>
      </c>
      <c r="I5" s="103">
        <f>SUM('Financial Detail'!AN39:AY39)</f>
        <v/>
      </c>
      <c r="J5" s="103">
        <f>SUM('Financial Detail'!AZ39:BK39)</f>
        <v/>
      </c>
      <c r="K5" s="103">
        <f>SUM('Financial Detail'!BL39:BW39)</f>
        <v/>
      </c>
    </row>
    <row r="6">
      <c r="A6" t="inlineStr">
        <is>
          <t xml:space="preserve">  + Taxes</t>
        </is>
      </c>
      <c r="B6" s="103">
        <f>SUM('Financial Detail'!P37:R37)</f>
        <v/>
      </c>
      <c r="C6" s="103">
        <f>SUM('Financial Detail'!S37:U37)</f>
        <v/>
      </c>
      <c r="D6" s="103">
        <f>SUM('Financial Detail'!V37:X37)</f>
        <v/>
      </c>
      <c r="E6" s="103">
        <f>SUM('Financial Detail'!Y37:AA37)</f>
        <v/>
      </c>
      <c r="F6" s="103">
        <f>SUM('Financial Detail'!D37:O37)</f>
        <v/>
      </c>
      <c r="G6" s="103">
        <f>SUM('Financial Detail'!P37:AA37)</f>
        <v/>
      </c>
      <c r="H6" s="103">
        <f>SUM('Financial Detail'!AB37:AM37)</f>
        <v/>
      </c>
      <c r="I6" s="103">
        <f>SUM('Financial Detail'!AN37:AY37)</f>
        <v/>
      </c>
      <c r="J6" s="103">
        <f>SUM('Financial Detail'!AZ37:BK37)</f>
        <v/>
      </c>
      <c r="K6" s="103">
        <f>SUM('Financial Detail'!BL37:BW37)</f>
        <v/>
      </c>
    </row>
    <row r="7">
      <c r="A7" t="inlineStr">
        <is>
          <t xml:space="preserve">  + Interest expense</t>
        </is>
      </c>
      <c r="B7" s="103">
        <f>SUM('Financial Detail'!P35:R35)</f>
        <v/>
      </c>
      <c r="C7" s="103">
        <f>SUM('Financial Detail'!S35:U35)</f>
        <v/>
      </c>
      <c r="D7" s="103">
        <f>SUM('Financial Detail'!V35:X35)</f>
        <v/>
      </c>
      <c r="E7" s="103">
        <f>SUM('Financial Detail'!Y35:AA35)</f>
        <v/>
      </c>
      <c r="F7" s="103">
        <f>SUM('Financial Detail'!D35:O35)</f>
        <v/>
      </c>
      <c r="G7" s="103">
        <f>SUM('Financial Detail'!P35:AA35)</f>
        <v/>
      </c>
      <c r="H7" s="103">
        <f>SUM('Financial Detail'!AB35:AM35)</f>
        <v/>
      </c>
      <c r="I7" s="103">
        <f>SUM('Financial Detail'!AN35:AY35)</f>
        <v/>
      </c>
      <c r="J7" s="103">
        <f>SUM('Financial Detail'!AZ35:BK35)</f>
        <v/>
      </c>
      <c r="K7" s="103">
        <f>SUM('Financial Detail'!BL35:BW35)</f>
        <v/>
      </c>
    </row>
    <row r="8">
      <c r="A8" t="inlineStr">
        <is>
          <t xml:space="preserve">  + D&amp;A (assumed 0)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>
      <c r="A9" t="inlineStr">
        <is>
          <t xml:space="preserve">  + Non-recurring (assumed 0)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</row>
    <row r="10">
      <c r="A10" s="1" t="inlineStr">
        <is>
          <t>EBITDA (subtotal)</t>
        </is>
      </c>
      <c r="B10" s="101">
        <f>SUM(B5:B9)</f>
        <v/>
      </c>
      <c r="C10" s="101">
        <f>SUM(C5:C9)</f>
        <v/>
      </c>
      <c r="D10" s="101">
        <f>SUM(D5:D9)</f>
        <v/>
      </c>
      <c r="E10" s="101">
        <f>SUM(E5:E9)</f>
        <v/>
      </c>
      <c r="F10" s="101">
        <f>SUM(F5:F9)</f>
        <v/>
      </c>
      <c r="G10" s="101">
        <f>SUM(G5:G9)</f>
        <v/>
      </c>
      <c r="H10" s="101">
        <f>SUM(H5:H9)</f>
        <v/>
      </c>
      <c r="I10" s="101">
        <f>SUM(I5:I9)</f>
        <v/>
      </c>
      <c r="J10" s="101">
        <f>SUM(J5:J9)</f>
        <v/>
      </c>
      <c r="K10" s="101">
        <f>SUM(K5:K9)</f>
        <v/>
      </c>
    </row>
    <row r="11">
      <c r="A11" t="inlineStr">
        <is>
          <t xml:space="preserve">  + Adjustments — owner comp normalization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</row>
    <row r="12">
      <c r="A12" s="1" t="inlineStr">
        <is>
          <t>Adjusted EBITDA</t>
        </is>
      </c>
      <c r="B12" s="101">
        <f>B10+B11</f>
        <v/>
      </c>
      <c r="C12" s="101">
        <f>C10+C11</f>
        <v/>
      </c>
      <c r="D12" s="101">
        <f>D10+D11</f>
        <v/>
      </c>
      <c r="E12" s="101">
        <f>E10+E11</f>
        <v/>
      </c>
      <c r="F12" s="101">
        <f>F10+F11</f>
        <v/>
      </c>
      <c r="G12" s="101">
        <f>G10+G11</f>
        <v/>
      </c>
      <c r="H12" s="101">
        <f>H10+H11</f>
        <v/>
      </c>
      <c r="I12" s="101">
        <f>I10+I11</f>
        <v/>
      </c>
      <c r="J12" s="101">
        <f>J10+J11</f>
        <v/>
      </c>
      <c r="K12" s="101">
        <f>K10+K11</f>
        <v/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/>
  </sheetPr>
  <dimension ref="A1:I34"/>
  <sheetViews>
    <sheetView workbookViewId="0">
      <selection activeCell="A1" sqref="A1:I1"/>
    </sheetView>
  </sheetViews>
  <sheetFormatPr baseColWidth="10" defaultColWidth="8.83203125" defaultRowHeight="15"/>
  <cols>
    <col width="32" customWidth="1" style="50" min="1" max="1"/>
    <col width="16" customWidth="1" style="50" min="2" max="8"/>
  </cols>
  <sheetData>
    <row r="1" ht="24" customHeight="1" s="50">
      <c r="A1" s="95" t="inlineStr">
        <is>
          <t>Financial Summary — Annual Roll-Up</t>
        </is>
      </c>
    </row>
    <row r="2">
      <c r="A2" s="5" t="inlineStr">
        <is>
          <t>Annual aggregation of Financial Detail. Compares to V50 Financial Summary structure.</t>
        </is>
      </c>
    </row>
    <row r="4">
      <c r="B4" s="1" t="inlineStr">
        <is>
          <t>2024A</t>
        </is>
      </c>
      <c r="C4" s="1" t="inlineStr">
        <is>
          <t>2025E</t>
        </is>
      </c>
      <c r="D4" s="1" t="inlineStr">
        <is>
          <t>2026E</t>
        </is>
      </c>
      <c r="E4" s="1" t="inlineStr">
        <is>
          <t>2027E</t>
        </is>
      </c>
      <c r="F4" s="1" t="inlineStr">
        <is>
          <t>2028E</t>
        </is>
      </c>
      <c r="G4" s="1" t="inlineStr">
        <is>
          <t>2029E</t>
        </is>
      </c>
      <c r="H4" s="1" t="inlineStr">
        <is>
          <t>2030E</t>
        </is>
      </c>
    </row>
    <row r="5">
      <c r="A5" s="97" t="inlineStr">
        <is>
          <t>REVENUE</t>
        </is>
      </c>
    </row>
    <row r="6">
      <c r="A6" t="inlineStr">
        <is>
          <t>CX VSC sales</t>
        </is>
      </c>
      <c r="B6" s="103">
        <f>'CX Sales'!C13</f>
        <v/>
      </c>
      <c r="C6" s="103">
        <f>SUM('CX Sales'!D15:O15)</f>
        <v/>
      </c>
      <c r="D6" s="103">
        <f>SUM('CX Sales'!P15:AA15)</f>
        <v/>
      </c>
      <c r="E6" s="103">
        <f>SUM('CX Sales'!AB15:AM15)</f>
        <v/>
      </c>
      <c r="F6" s="103">
        <f>SUM('CX Sales'!AN15:AY15)</f>
        <v/>
      </c>
      <c r="G6" s="103">
        <f>SUM('CX Sales'!AZ15:BK15)</f>
        <v/>
      </c>
      <c r="H6" s="103">
        <f>SUM('CX Sales'!BL15:BW15)</f>
        <v/>
      </c>
    </row>
    <row r="7">
      <c r="A7" s="5" t="inlineStr">
        <is>
          <t xml:space="preserve">  (CX init fees included above)</t>
        </is>
      </c>
      <c r="B7" s="48" t="n">
        <v>0</v>
      </c>
      <c r="C7" s="48" t="n">
        <v>0</v>
      </c>
      <c r="D7" s="48" t="n">
        <v>0</v>
      </c>
      <c r="E7" s="48" t="n">
        <v>0</v>
      </c>
      <c r="F7" s="48" t="n">
        <v>0</v>
      </c>
      <c r="G7" s="48" t="n">
        <v>0</v>
      </c>
      <c r="H7" s="48" t="n">
        <v>0</v>
      </c>
    </row>
    <row r="8">
      <c r="A8" t="inlineStr">
        <is>
          <t>ASD sales</t>
        </is>
      </c>
      <c r="B8" s="103">
        <f>'ASD Sales'!C13</f>
        <v/>
      </c>
      <c r="C8" s="103">
        <f>SUM('ASD Sales'!D15:O15)</f>
        <v/>
      </c>
      <c r="D8" s="103">
        <f>SUM('ASD Sales'!P15:AA15)</f>
        <v/>
      </c>
      <c r="E8" s="103">
        <f>SUM('ASD Sales'!AB15:AM15)</f>
        <v/>
      </c>
      <c r="F8" s="103">
        <f>SUM('ASD Sales'!AN15:AY15)</f>
        <v/>
      </c>
      <c r="G8" s="103">
        <f>SUM('ASD Sales'!AZ15:BK15)</f>
        <v/>
      </c>
      <c r="H8" s="103">
        <f>SUM('ASD Sales'!BL15:BW15)</f>
        <v/>
      </c>
    </row>
    <row r="9">
      <c r="A9" t="inlineStr">
        <is>
          <t>Home sales</t>
        </is>
      </c>
      <c r="B9" s="103">
        <f>'Home Sales'!C13</f>
        <v/>
      </c>
      <c r="C9" s="103">
        <f>SUM('Home Sales'!D15:O15)</f>
        <v/>
      </c>
      <c r="D9" s="103">
        <f>SUM('Home Sales'!P15:AA15)</f>
        <v/>
      </c>
      <c r="E9" s="103">
        <f>SUM('Home Sales'!AB15:AM15)</f>
        <v/>
      </c>
      <c r="F9" s="103">
        <f>SUM('Home Sales'!AN15:AY15)</f>
        <v/>
      </c>
      <c r="G9" s="103">
        <f>SUM('Home Sales'!AZ15:BK15)</f>
        <v/>
      </c>
      <c r="H9" s="103">
        <f>SUM('Home Sales'!BL15:BW15)</f>
        <v/>
      </c>
    </row>
    <row r="10">
      <c r="A10" t="inlineStr">
        <is>
          <t>Producer commission</t>
        </is>
      </c>
      <c r="B10" s="103">
        <f>'Producer Sales'!C13</f>
        <v/>
      </c>
      <c r="C10" s="103">
        <f>SUM('Producer Sales'!D13:O13)</f>
        <v/>
      </c>
      <c r="D10" s="103">
        <f>SUM('Producer Sales'!P13:AA13)</f>
        <v/>
      </c>
      <c r="E10" s="103">
        <f>SUM('Producer Sales'!AB13:AM13)</f>
        <v/>
      </c>
      <c r="F10" s="103">
        <f>SUM('Producer Sales'!AN13:AY13)</f>
        <v/>
      </c>
      <c r="G10" s="103">
        <f>SUM('Producer Sales'!AZ13:BK13)</f>
        <v/>
      </c>
      <c r="H10" s="103">
        <f>SUM('Producer Sales'!BL13:BW13)</f>
        <v/>
      </c>
    </row>
    <row r="11">
      <c r="A11" s="1" t="inlineStr">
        <is>
          <t>Total revenue</t>
        </is>
      </c>
      <c r="B11" s="101">
        <f>B6+B7+B8+B9+B10</f>
        <v/>
      </c>
      <c r="C11" s="101">
        <f>C6+C7+C8+C9+C10</f>
        <v/>
      </c>
      <c r="D11" s="101">
        <f>D6+D7+D8+D9+D10</f>
        <v/>
      </c>
      <c r="E11" s="101">
        <f>E6+E7+E8+E9+E10</f>
        <v/>
      </c>
      <c r="F11" s="101">
        <f>F6+F7+F8+F9+F10</f>
        <v/>
      </c>
      <c r="G11" s="101">
        <f>G6+G7+G8+G9+G10</f>
        <v/>
      </c>
      <c r="H11" s="101">
        <f>H6+H7+H8+H9+H10</f>
        <v/>
      </c>
    </row>
    <row r="13">
      <c r="A13" s="97" t="inlineStr">
        <is>
          <t>COS</t>
        </is>
      </c>
    </row>
    <row r="14">
      <c r="A14" t="inlineStr">
        <is>
          <t>CX COS</t>
        </is>
      </c>
      <c r="B14" s="103">
        <f>'CX Sales'!C24</f>
        <v/>
      </c>
      <c r="C14" s="103">
        <f>SUM('CX Sales'!D24:O24)</f>
        <v/>
      </c>
      <c r="D14" s="103">
        <f>SUM('CX Sales'!P24:AA24)</f>
        <v/>
      </c>
      <c r="E14" s="103">
        <f>SUM('CX Sales'!AB24:AM24)</f>
        <v/>
      </c>
      <c r="F14" s="103">
        <f>SUM('CX Sales'!AN24:AY24)</f>
        <v/>
      </c>
      <c r="G14" s="103">
        <f>SUM('CX Sales'!AZ24:BK24)</f>
        <v/>
      </c>
      <c r="H14" s="103">
        <f>SUM('CX Sales'!BL24:BW24)</f>
        <v/>
      </c>
    </row>
    <row r="15">
      <c r="A15" t="inlineStr">
        <is>
          <t>ASD COS</t>
        </is>
      </c>
      <c r="B15" s="103">
        <f>'ASD Sales'!C24</f>
        <v/>
      </c>
      <c r="C15" s="103">
        <f>SUM('ASD Sales'!D24:O24)</f>
        <v/>
      </c>
      <c r="D15" s="103">
        <f>SUM('ASD Sales'!P24:AA24)</f>
        <v/>
      </c>
      <c r="E15" s="103">
        <f>SUM('ASD Sales'!AB24:AM24)</f>
        <v/>
      </c>
      <c r="F15" s="103">
        <f>SUM('ASD Sales'!AN24:AY24)</f>
        <v/>
      </c>
      <c r="G15" s="103">
        <f>SUM('ASD Sales'!AZ24:BK24)</f>
        <v/>
      </c>
      <c r="H15" s="103">
        <f>SUM('ASD Sales'!BL24:BW24)</f>
        <v/>
      </c>
    </row>
    <row r="16">
      <c r="A16" t="inlineStr">
        <is>
          <t>Home COS</t>
        </is>
      </c>
      <c r="B16" s="103">
        <f>'Home Sales'!C24</f>
        <v/>
      </c>
      <c r="C16" s="103">
        <f>SUM('Home Sales'!D24:O24)</f>
        <v/>
      </c>
      <c r="D16" s="103">
        <f>SUM('Home Sales'!P24:AA24)</f>
        <v/>
      </c>
      <c r="E16" s="103">
        <f>SUM('Home Sales'!AB24:AM24)</f>
        <v/>
      </c>
      <c r="F16" s="103">
        <f>SUM('Home Sales'!AN24:AY24)</f>
        <v/>
      </c>
      <c r="G16" s="103">
        <f>SUM('Home Sales'!AZ24:BK24)</f>
        <v/>
      </c>
      <c r="H16" s="103">
        <f>SUM('Home Sales'!BL24:BW24)</f>
        <v/>
      </c>
    </row>
    <row r="17">
      <c r="A17" t="inlineStr">
        <is>
          <t>Producer COS</t>
        </is>
      </c>
      <c r="B17" s="103">
        <f>'Producer Sales'!C24</f>
        <v/>
      </c>
      <c r="C17" s="103">
        <f>SUM('Producer Sales'!D24:O24)</f>
        <v/>
      </c>
      <c r="D17" s="103">
        <f>SUM('Producer Sales'!P24:AA24)</f>
        <v/>
      </c>
      <c r="E17" s="103">
        <f>SUM('Producer Sales'!AB24:AM24)</f>
        <v/>
      </c>
      <c r="F17" s="103">
        <f>SUM('Producer Sales'!AN24:AY24)</f>
        <v/>
      </c>
      <c r="G17" s="103">
        <f>SUM('Producer Sales'!AZ24:BK24)</f>
        <v/>
      </c>
      <c r="H17" s="103">
        <f>SUM('Producer Sales'!BL24:BW24)</f>
        <v/>
      </c>
    </row>
    <row r="18">
      <c r="A18" s="1" t="inlineStr">
        <is>
          <t>Total COS</t>
        </is>
      </c>
      <c r="B18" s="101">
        <f>B14+B15+B16+B17</f>
        <v/>
      </c>
      <c r="C18" s="101">
        <f>C14+C15+C16+C17</f>
        <v/>
      </c>
      <c r="D18" s="101">
        <f>D14+D15+D16+D17</f>
        <v/>
      </c>
      <c r="E18" s="101">
        <f>E14+E15+E16+E17</f>
        <v/>
      </c>
      <c r="F18" s="101">
        <f>F14+F15+F16+F17</f>
        <v/>
      </c>
      <c r="G18" s="101">
        <f>G14+G15+G16+G17</f>
        <v/>
      </c>
      <c r="H18" s="101">
        <f>H14+H15+H16+H17</f>
        <v/>
      </c>
    </row>
    <row r="20">
      <c r="A20" s="1" t="inlineStr">
        <is>
          <t>GROSS PROFIT</t>
        </is>
      </c>
      <c r="B20" s="101">
        <f>B11-B18</f>
        <v/>
      </c>
      <c r="C20" s="101">
        <f>C11-C18</f>
        <v/>
      </c>
      <c r="D20" s="101">
        <f>D11-D18</f>
        <v/>
      </c>
      <c r="E20" s="101">
        <f>E11-E18</f>
        <v/>
      </c>
      <c r="F20" s="101">
        <f>F11-F18</f>
        <v/>
      </c>
      <c r="G20" s="101">
        <f>G11-G18</f>
        <v/>
      </c>
      <c r="H20" s="101">
        <f>H11-H18</f>
        <v/>
      </c>
    </row>
    <row r="21">
      <c r="A21" t="inlineStr">
        <is>
          <t xml:space="preserve">  Gross margin %</t>
        </is>
      </c>
      <c r="B21" s="34">
        <f>IFERROR(B20/B11,0)</f>
        <v/>
      </c>
      <c r="C21" s="34">
        <f>IFERROR(C20/C11,0)</f>
        <v/>
      </c>
      <c r="D21" s="34">
        <f>IFERROR(D20/D11,0)</f>
        <v/>
      </c>
      <c r="E21" s="34">
        <f>IFERROR(E20/E11,0)</f>
        <v/>
      </c>
      <c r="F21" s="34">
        <f>IFERROR(F20/F11,0)</f>
        <v/>
      </c>
      <c r="G21" s="34">
        <f>IFERROR(G20/G11,0)</f>
        <v/>
      </c>
      <c r="H21" s="34">
        <f>IFERROR(H20/H11,0)</f>
        <v/>
      </c>
    </row>
    <row r="23">
      <c r="A23" s="97" t="inlineStr">
        <is>
          <t>EXPENSES</t>
        </is>
      </c>
    </row>
    <row r="24">
      <c r="A24" t="inlineStr">
        <is>
          <t>Marketing</t>
        </is>
      </c>
      <c r="B24" s="103">
        <f>'Financial Detail'!C27</f>
        <v/>
      </c>
      <c r="C24" s="103">
        <f>SUM('Financial Detail'!D27:O27)</f>
        <v/>
      </c>
      <c r="D24" s="103">
        <f>SUM('Financial Detail'!P27:AA27)</f>
        <v/>
      </c>
      <c r="E24" s="103">
        <f>SUM('Financial Detail'!AB27:AM27)</f>
        <v/>
      </c>
      <c r="F24" s="103">
        <f>SUM('Financial Detail'!AN27:AY27)</f>
        <v/>
      </c>
      <c r="G24" s="103">
        <f>SUM('Financial Detail'!AZ27:BK27)</f>
        <v/>
      </c>
      <c r="H24" s="103">
        <f>SUM('Financial Detail'!BL27:BW27)</f>
        <v/>
      </c>
    </row>
    <row r="25">
      <c r="A25" t="inlineStr">
        <is>
          <t>Total comp</t>
        </is>
      </c>
      <c r="B25" s="103">
        <f>'Financial Detail'!C28</f>
        <v/>
      </c>
      <c r="C25" s="103">
        <f>SUM('Financial Detail'!D28:O28)</f>
        <v/>
      </c>
      <c r="D25" s="103">
        <f>SUM('Financial Detail'!P28:AA28)</f>
        <v/>
      </c>
      <c r="E25" s="103">
        <f>SUM('Financial Detail'!AB28:AM28)</f>
        <v/>
      </c>
      <c r="F25" s="103">
        <f>SUM('Financial Detail'!AN28:AY28)</f>
        <v/>
      </c>
      <c r="G25" s="103">
        <f>SUM('Financial Detail'!AZ28:BK28)</f>
        <v/>
      </c>
      <c r="H25" s="103">
        <f>SUM('Financial Detail'!BL28:BW28)</f>
        <v/>
      </c>
    </row>
    <row r="26">
      <c r="A26" t="inlineStr">
        <is>
          <t>SG&amp;A</t>
        </is>
      </c>
      <c r="B26" s="103">
        <f>'Financial Detail'!C29</f>
        <v/>
      </c>
      <c r="C26" s="103">
        <f>SUM('Financial Detail'!D29:O29)</f>
        <v/>
      </c>
      <c r="D26" s="103">
        <f>SUM('Financial Detail'!P29:AA29)</f>
        <v/>
      </c>
      <c r="E26" s="103">
        <f>SUM('Financial Detail'!AB29:AM29)</f>
        <v/>
      </c>
      <c r="F26" s="103">
        <f>SUM('Financial Detail'!AN29:AY29)</f>
        <v/>
      </c>
      <c r="G26" s="103">
        <f>SUM('Financial Detail'!AZ29:BK29)</f>
        <v/>
      </c>
      <c r="H26" s="103">
        <f>SUM('Financial Detail'!BL29:BW29)</f>
        <v/>
      </c>
    </row>
    <row r="27">
      <c r="A27" s="1" t="inlineStr">
        <is>
          <t>Total expenses</t>
        </is>
      </c>
      <c r="B27" s="101">
        <f>B26+'Financial Detail'!C30</f>
        <v/>
      </c>
      <c r="C27" s="101">
        <f>C24+C25+C26+SUM('Financial Detail'!D30:'Financial Detail'!O30)</f>
        <v/>
      </c>
      <c r="D27" s="101">
        <f>D24+D25+D26+SUM('Financial Detail'!P30:'Financial Detail'!AA30)</f>
        <v/>
      </c>
      <c r="E27" s="101">
        <f>E24+E25+E26+SUM('Financial Detail'!AB30:'Financial Detail'!AM30)</f>
        <v/>
      </c>
      <c r="F27" s="101">
        <f>F24+F25+F26+SUM('Financial Detail'!AN30:'Financial Detail'!AY30)</f>
        <v/>
      </c>
      <c r="G27" s="101">
        <f>G24+G25+G26+SUM('Financial Detail'!AZ30:'Financial Detail'!BK30)</f>
        <v/>
      </c>
      <c r="H27" s="101">
        <f>H24+H25+H26+SUM('Financial Detail'!BL30:'Financial Detail'!BW30)</f>
        <v/>
      </c>
    </row>
    <row r="29">
      <c r="A29" s="1" t="inlineStr">
        <is>
          <t>OPERATING INCOME/EBITDA</t>
        </is>
      </c>
      <c r="B29" s="101">
        <f>B20-B27</f>
        <v/>
      </c>
      <c r="C29" s="101">
        <f>C20-C27</f>
        <v/>
      </c>
      <c r="D29" s="101">
        <f>D20-D27</f>
        <v/>
      </c>
      <c r="E29" s="101">
        <f>E20-E27</f>
        <v/>
      </c>
      <c r="F29" s="101">
        <f>F20-F27</f>
        <v/>
      </c>
      <c r="G29" s="101">
        <f>G20-G27</f>
        <v/>
      </c>
      <c r="H29" s="101">
        <f>H20-H27</f>
        <v/>
      </c>
    </row>
    <row r="30">
      <c r="A30" t="inlineStr">
        <is>
          <t xml:space="preserve">  Operating margin %</t>
        </is>
      </c>
      <c r="B30" s="34">
        <f>IFERROR(B29/B11,0)</f>
        <v/>
      </c>
      <c r="C30" s="34">
        <f>IFERROR(C29/C11,0)</f>
        <v/>
      </c>
      <c r="D30" s="34">
        <f>IFERROR(D29/D11,0)</f>
        <v/>
      </c>
      <c r="E30" s="34">
        <f>IFERROR(E29/E11,0)</f>
        <v/>
      </c>
      <c r="F30" s="34">
        <f>IFERROR(F29/F11,0)</f>
        <v/>
      </c>
      <c r="G30" s="34">
        <f>IFERROR(G29/G11,0)</f>
        <v/>
      </c>
      <c r="H30" s="34">
        <f>IFERROR(H29/H11,0)</f>
        <v/>
      </c>
    </row>
    <row r="32">
      <c r="A32" t="inlineStr">
        <is>
          <t>Net interest expense</t>
        </is>
      </c>
      <c r="B32" s="103">
        <f>'Financial Detail'!C35</f>
        <v/>
      </c>
      <c r="C32" s="103">
        <f>SUM('Financial Detail'!D35:O35)</f>
        <v/>
      </c>
      <c r="D32" s="103">
        <f>SUM('Financial Detail'!P35:AA35)</f>
        <v/>
      </c>
      <c r="E32" s="103">
        <f>SUM('Financial Detail'!AB35:AM35)</f>
        <v/>
      </c>
      <c r="F32" s="103">
        <f>SUM('Financial Detail'!AN35:AY35)</f>
        <v/>
      </c>
      <c r="G32" s="103">
        <f>SUM('Financial Detail'!AZ35:BK35)</f>
        <v/>
      </c>
      <c r="H32" s="103">
        <f>SUM('Financial Detail'!BL35:BW35)</f>
        <v/>
      </c>
    </row>
    <row r="33">
      <c r="A33" t="inlineStr">
        <is>
          <t>Corporate income tax</t>
        </is>
      </c>
      <c r="B33" s="103">
        <f>'Financial Detail'!C37</f>
        <v/>
      </c>
      <c r="C33" s="103">
        <f>SUM('Financial Detail'!D37:O37)</f>
        <v/>
      </c>
      <c r="D33" s="103">
        <f>SUM('Financial Detail'!P37:AA37)</f>
        <v/>
      </c>
      <c r="E33" s="103">
        <f>SUM('Financial Detail'!AB37:AM37)</f>
        <v/>
      </c>
      <c r="F33" s="103">
        <f>SUM('Financial Detail'!AN37:AY37)</f>
        <v/>
      </c>
      <c r="G33" s="103">
        <f>SUM('Financial Detail'!AZ37:BK37)</f>
        <v/>
      </c>
      <c r="H33" s="103">
        <f>SUM('Financial Detail'!BL37:BW37)</f>
        <v/>
      </c>
    </row>
    <row r="34">
      <c r="A34" s="1" t="inlineStr">
        <is>
          <t>NET INCOME</t>
        </is>
      </c>
      <c r="B34" s="101">
        <f>B29-B32-B33</f>
        <v/>
      </c>
      <c r="C34" s="101">
        <f>C29-C32-C33</f>
        <v/>
      </c>
      <c r="D34" s="101">
        <f>D29-D32-D33</f>
        <v/>
      </c>
      <c r="E34" s="101">
        <f>E29-E32-E33</f>
        <v/>
      </c>
      <c r="F34" s="101">
        <f>F29-F32-F33</f>
        <v/>
      </c>
      <c r="G34" s="101">
        <f>G29-G32-G33</f>
        <v/>
      </c>
      <c r="H34" s="101">
        <f>H29-H32-H33</f>
        <v/>
      </c>
    </row>
  </sheetData>
  <mergeCells count="4">
    <mergeCell ref="A1:I1"/>
    <mergeCell ref="A5:I5"/>
    <mergeCell ref="A13:I13"/>
    <mergeCell ref="A23:I2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/>
  </sheetPr>
  <dimension ref="A1:G42"/>
  <sheetViews>
    <sheetView workbookViewId="0">
      <selection activeCell="A1" sqref="A1:F1"/>
    </sheetView>
  </sheetViews>
  <sheetFormatPr baseColWidth="10" defaultColWidth="8.83203125" defaultRowHeight="15"/>
  <cols>
    <col width="44" customWidth="1" style="50" min="1" max="1"/>
    <col width="16" customWidth="1" style="50" min="2" max="7"/>
  </cols>
  <sheetData>
    <row r="1" ht="24" customHeight="1" s="50">
      <c r="A1" s="95" t="inlineStr">
        <is>
          <t>Covenants — CNB Credit Facility Tie-out</t>
        </is>
      </c>
    </row>
    <row r="2">
      <c r="A2" s="5" t="inlineStr">
        <is>
          <t>Reproduces CNB - CoverageX_Covenant Worksheet Dec 31, 2025.xlsx and projects forward 2026-2030.</t>
        </is>
      </c>
    </row>
    <row r="4">
      <c r="B4" s="1" t="inlineStr">
        <is>
          <t>12/31/25 A</t>
        </is>
      </c>
      <c r="C4" s="1" t="inlineStr">
        <is>
          <t>12/31/26 E</t>
        </is>
      </c>
      <c r="D4" s="1" t="inlineStr">
        <is>
          <t>12/31/27 E</t>
        </is>
      </c>
      <c r="E4" s="1" t="inlineStr">
        <is>
          <t>12/31/28 E</t>
        </is>
      </c>
      <c r="F4" s="1" t="inlineStr">
        <is>
          <t>12/31/29 E</t>
        </is>
      </c>
      <c r="G4" s="1" t="inlineStr">
        <is>
          <t>12/31/30 E</t>
        </is>
      </c>
    </row>
    <row r="6">
      <c r="A6" s="97" t="inlineStr">
        <is>
          <t>FIXED CHARGE COVERAGE RATIO (TTM)</t>
        </is>
      </c>
    </row>
    <row r="7">
      <c r="A7" t="inlineStr">
        <is>
          <t>Net Income</t>
        </is>
      </c>
      <c r="B7" s="14" t="n">
        <v>32070476</v>
      </c>
      <c r="C7" s="17">
        <f>B7*1.2</f>
        <v/>
      </c>
      <c r="D7" s="17">
        <f>C7*1.2</f>
        <v/>
      </c>
      <c r="E7" s="17">
        <f>D7*1.2</f>
        <v/>
      </c>
      <c r="F7" s="17">
        <f>E7*1.2</f>
        <v/>
      </c>
      <c r="G7" s="17">
        <f>F7*1.2</f>
        <v/>
      </c>
    </row>
    <row r="8">
      <c r="A8" t="inlineStr">
        <is>
          <t>+ Income Taxes</t>
        </is>
      </c>
      <c r="B8" s="14" t="n">
        <v>0</v>
      </c>
      <c r="C8" s="17">
        <f>B8*1.2</f>
        <v/>
      </c>
      <c r="D8" s="17">
        <f>C8*1.2</f>
        <v/>
      </c>
      <c r="E8" s="17">
        <f>D8*1.2</f>
        <v/>
      </c>
      <c r="F8" s="17">
        <f>E8*1.2</f>
        <v/>
      </c>
      <c r="G8" s="17">
        <f>F8*1.2</f>
        <v/>
      </c>
    </row>
    <row r="9">
      <c r="A9" t="inlineStr">
        <is>
          <t>+ Interest Expense (TTM)</t>
        </is>
      </c>
      <c r="B9" s="14" t="n">
        <v>122161</v>
      </c>
      <c r="C9" s="17">
        <f>B9*1.2</f>
        <v/>
      </c>
      <c r="D9" s="17">
        <f>C9*1.2</f>
        <v/>
      </c>
      <c r="E9" s="17">
        <f>D9*1.2</f>
        <v/>
      </c>
      <c r="F9" s="17">
        <f>E9*1.2</f>
        <v/>
      </c>
      <c r="G9" s="17">
        <f>F9*1.2</f>
        <v/>
      </c>
    </row>
    <row r="10">
      <c r="A10" t="inlineStr">
        <is>
          <t>+ Depreciation and Amortization</t>
        </is>
      </c>
      <c r="B10" s="14" t="n">
        <v>0</v>
      </c>
      <c r="C10" s="17">
        <f>B10*1.2</f>
        <v/>
      </c>
      <c r="D10" s="17">
        <f>C10*1.2</f>
        <v/>
      </c>
      <c r="E10" s="17">
        <f>D10*1.2</f>
        <v/>
      </c>
      <c r="F10" s="17">
        <f>E10*1.2</f>
        <v/>
      </c>
      <c r="G10" s="17">
        <f>F10*1.2</f>
        <v/>
      </c>
    </row>
    <row r="11">
      <c r="A11" t="inlineStr">
        <is>
          <t>+/− Decrease/(Increase) in Mepco Reserves</t>
        </is>
      </c>
      <c r="B11" s="14" t="n">
        <v>-118504991</v>
      </c>
      <c r="C11" s="17">
        <f>B11*1.2</f>
        <v/>
      </c>
      <c r="D11" s="17">
        <f>C11*1.2</f>
        <v/>
      </c>
      <c r="E11" s="17">
        <f>D11*1.2</f>
        <v/>
      </c>
      <c r="F11" s="17">
        <f>E11*1.2</f>
        <v/>
      </c>
      <c r="G11" s="17">
        <f>F11*1.2</f>
        <v/>
      </c>
    </row>
    <row r="12">
      <c r="A12" t="inlineStr">
        <is>
          <t>+/− Decrease/(Increase) in Due from Affiliates</t>
        </is>
      </c>
      <c r="B12" s="14" t="n">
        <v>-5946689</v>
      </c>
      <c r="C12" s="17">
        <f>B12*1.2</f>
        <v/>
      </c>
      <c r="D12" s="17">
        <f>C12*1.2</f>
        <v/>
      </c>
      <c r="E12" s="17">
        <f>D12*1.2</f>
        <v/>
      </c>
      <c r="F12" s="17">
        <f>E12*1.2</f>
        <v/>
      </c>
      <c r="G12" s="17">
        <f>F12*1.2</f>
        <v/>
      </c>
    </row>
    <row r="13">
      <c r="A13" t="inlineStr">
        <is>
          <t>+/− Increase/(Decrease) in Unearned Premium</t>
        </is>
      </c>
      <c r="B13" s="14" t="n">
        <v>73326491</v>
      </c>
      <c r="C13" s="17">
        <f>B13*1.2</f>
        <v/>
      </c>
      <c r="D13" s="17">
        <f>C13*1.2</f>
        <v/>
      </c>
      <c r="E13" s="17">
        <f>D13*1.2</f>
        <v/>
      </c>
      <c r="F13" s="17">
        <f>E13*1.2</f>
        <v/>
      </c>
      <c r="G13" s="17">
        <f>F13*1.2</f>
        <v/>
      </c>
    </row>
    <row r="14">
      <c r="A14" t="inlineStr">
        <is>
          <t>+/− Increase/(Decrease) in Warranty Reserves</t>
        </is>
      </c>
      <c r="B14" s="14" t="n">
        <v>21092110</v>
      </c>
      <c r="C14" s="17">
        <f>B14*1.2</f>
        <v/>
      </c>
      <c r="D14" s="17">
        <f>C14*1.2</f>
        <v/>
      </c>
      <c r="E14" s="17">
        <f>D14*1.2</f>
        <v/>
      </c>
      <c r="F14" s="17">
        <f>E14*1.2</f>
        <v/>
      </c>
      <c r="G14" s="17">
        <f>F14*1.2</f>
        <v/>
      </c>
    </row>
    <row r="15">
      <c r="A15" t="inlineStr">
        <is>
          <t>+ Non-cash / Non-recurring Expense</t>
        </is>
      </c>
      <c r="B15" s="14" t="n">
        <v>0</v>
      </c>
      <c r="C15" s="17">
        <f>B15*1.2</f>
        <v/>
      </c>
      <c r="D15" s="17">
        <f>C15*1.2</f>
        <v/>
      </c>
      <c r="E15" s="17">
        <f>D15*1.2</f>
        <v/>
      </c>
      <c r="F15" s="17">
        <f>E15*1.2</f>
        <v/>
      </c>
      <c r="G15" s="17">
        <f>F15*1.2</f>
        <v/>
      </c>
    </row>
    <row r="16">
      <c r="A16" t="inlineStr">
        <is>
          <t>+ Rent Expense</t>
        </is>
      </c>
      <c r="B16" s="14" t="n">
        <v>988169</v>
      </c>
      <c r="C16" s="17">
        <f>B16*1.2</f>
        <v/>
      </c>
      <c r="D16" s="17">
        <f>C16*1.2</f>
        <v/>
      </c>
      <c r="E16" s="17">
        <f>D16*1.2</f>
        <v/>
      </c>
      <c r="F16" s="17">
        <f>E16*1.2</f>
        <v/>
      </c>
      <c r="G16" s="17">
        <f>F16*1.2</f>
        <v/>
      </c>
    </row>
    <row r="17">
      <c r="A17" t="inlineStr">
        <is>
          <t>− Cash Taxes</t>
        </is>
      </c>
      <c r="B17" s="14" t="n">
        <v>0</v>
      </c>
      <c r="C17" s="17">
        <f>B17*1.2</f>
        <v/>
      </c>
      <c r="D17" s="17">
        <f>C17*1.2</f>
        <v/>
      </c>
      <c r="E17" s="17">
        <f>D17*1.2</f>
        <v/>
      </c>
      <c r="F17" s="17">
        <f>E17*1.2</f>
        <v/>
      </c>
      <c r="G17" s="17">
        <f>F17*1.2</f>
        <v/>
      </c>
    </row>
    <row r="18">
      <c r="A18" t="inlineStr">
        <is>
          <t>− Unfinanced CAPEX</t>
        </is>
      </c>
      <c r="B18" s="14" t="n">
        <v>0</v>
      </c>
      <c r="C18" s="17">
        <f>B18*1.2</f>
        <v/>
      </c>
      <c r="D18" s="17">
        <f>C18*1.2</f>
        <v/>
      </c>
      <c r="E18" s="17">
        <f>D18*1.2</f>
        <v/>
      </c>
      <c r="F18" s="17">
        <f>E18*1.2</f>
        <v/>
      </c>
      <c r="G18" s="17">
        <f>F18*1.2</f>
        <v/>
      </c>
    </row>
    <row r="19">
      <c r="A19" t="inlineStr">
        <is>
          <t>Adjusted Cash Flow</t>
        </is>
      </c>
      <c r="B19" s="101" t="n">
        <v>3147727</v>
      </c>
      <c r="C19" s="101">
        <f>SUM(C7:C18)</f>
        <v/>
      </c>
      <c r="D19" s="101">
        <f>SUM(D7:D18)</f>
        <v/>
      </c>
      <c r="E19" s="101">
        <f>SUM(E7:E18)</f>
        <v/>
      </c>
      <c r="F19" s="101">
        <f>SUM(F7:F18)</f>
        <v/>
      </c>
      <c r="G19" s="101">
        <f>SUM(G7:G18)</f>
        <v/>
      </c>
    </row>
    <row r="21">
      <c r="A21" t="inlineStr">
        <is>
          <t>Current portion of long-term debt</t>
        </is>
      </c>
      <c r="B21" s="14" t="n">
        <v>0</v>
      </c>
      <c r="C21" s="17">
        <f>B21*1.08</f>
        <v/>
      </c>
      <c r="D21" s="17">
        <f>C21*1.08</f>
        <v/>
      </c>
      <c r="E21" s="17">
        <f>D21*1.08</f>
        <v/>
      </c>
      <c r="F21" s="17">
        <f>E21*1.08</f>
        <v/>
      </c>
      <c r="G21" s="17">
        <f>F21*1.08</f>
        <v/>
      </c>
    </row>
    <row r="22">
      <c r="A22" t="inlineStr">
        <is>
          <t>+ Interest Expense</t>
        </is>
      </c>
      <c r="B22" s="14" t="n">
        <v>264974</v>
      </c>
      <c r="C22" s="17">
        <f>B22*1.08</f>
        <v/>
      </c>
      <c r="D22" s="17">
        <f>C22*1.08</f>
        <v/>
      </c>
      <c r="E22" s="17">
        <f>D22*1.08</f>
        <v/>
      </c>
      <c r="F22" s="17">
        <f>E22*1.08</f>
        <v/>
      </c>
      <c r="G22" s="17">
        <f>F22*1.08</f>
        <v/>
      </c>
    </row>
    <row r="23">
      <c r="A23" t="inlineStr">
        <is>
          <t>+ Rent Expense</t>
        </is>
      </c>
      <c r="B23" s="14" t="n">
        <v>988169</v>
      </c>
      <c r="C23" s="17">
        <f>B23*1.08</f>
        <v/>
      </c>
      <c r="D23" s="17">
        <f>C23*1.08</f>
        <v/>
      </c>
      <c r="E23" s="17">
        <f>D23*1.08</f>
        <v/>
      </c>
      <c r="F23" s="17">
        <f>E23*1.08</f>
        <v/>
      </c>
      <c r="G23" s="17">
        <f>F23*1.08</f>
        <v/>
      </c>
    </row>
    <row r="24">
      <c r="A24" s="1" t="inlineStr">
        <is>
          <t>Fixed Charges</t>
        </is>
      </c>
      <c r="B24" s="101" t="n">
        <v>1253143</v>
      </c>
      <c r="C24" s="101">
        <f>SUM(C21:C23)</f>
        <v/>
      </c>
      <c r="D24" s="101">
        <f>SUM(D21:D23)</f>
        <v/>
      </c>
      <c r="E24" s="101">
        <f>SUM(E21:E23)</f>
        <v/>
      </c>
      <c r="F24" s="101">
        <f>SUM(F21:F23)</f>
        <v/>
      </c>
      <c r="G24" s="101">
        <f>SUM(G21:G23)</f>
        <v/>
      </c>
    </row>
    <row r="26">
      <c r="A26" s="1" t="inlineStr">
        <is>
          <t>Fixed Charge Coverage Ratio</t>
        </is>
      </c>
      <c r="B26" s="104">
        <f>B19/B24</f>
        <v/>
      </c>
      <c r="C26" s="104">
        <f>C19/C24</f>
        <v/>
      </c>
      <c r="D26" s="104">
        <f>D19/D24</f>
        <v/>
      </c>
      <c r="E26" s="104">
        <f>E19/E24</f>
        <v/>
      </c>
      <c r="F26" s="104">
        <f>F19/F24</f>
        <v/>
      </c>
      <c r="G26" s="104">
        <f>G19/G24</f>
        <v/>
      </c>
    </row>
    <row r="27">
      <c r="A27" t="inlineStr">
        <is>
          <t>Minimum requirement</t>
        </is>
      </c>
      <c r="B27" s="36" t="n">
        <v>1.5</v>
      </c>
      <c r="C27" s="36" t="n">
        <v>1.5</v>
      </c>
      <c r="D27" s="36" t="n">
        <v>1.5</v>
      </c>
      <c r="E27" s="36" t="n">
        <v>1.5</v>
      </c>
      <c r="F27" s="36" t="n">
        <v>1.5</v>
      </c>
      <c r="G27" s="36" t="n">
        <v>1.5</v>
      </c>
    </row>
    <row r="28">
      <c r="A28" t="inlineStr">
        <is>
          <t>Compliance</t>
        </is>
      </c>
      <c r="B28" s="1">
        <f>IF(B26&gt;=B27,"YES","NO")</f>
        <v/>
      </c>
      <c r="C28" s="1">
        <f>IF(C26&gt;=C27,"YES","NO")</f>
        <v/>
      </c>
      <c r="D28" s="1">
        <f>IF(D26&gt;=D27,"YES","NO")</f>
        <v/>
      </c>
      <c r="E28" s="1">
        <f>IF(E26&gt;=E27,"YES","NO")</f>
        <v/>
      </c>
      <c r="F28" s="1">
        <f>IF(F26&gt;=F27,"YES","NO")</f>
        <v/>
      </c>
      <c r="G28" s="1">
        <f>IF(G26&gt;=G27,"YES","NO")</f>
        <v/>
      </c>
    </row>
    <row r="31">
      <c r="A31" s="97" t="inlineStr">
        <is>
          <t>CURRENT RATIO</t>
        </is>
      </c>
    </row>
    <row r="32">
      <c r="A32" t="inlineStr">
        <is>
          <t>Current Assets</t>
        </is>
      </c>
      <c r="B32" s="14" t="n">
        <v>177540389</v>
      </c>
      <c r="C32" s="17">
        <f>B32*1.25</f>
        <v/>
      </c>
      <c r="D32" s="17">
        <f>C32*1.25</f>
        <v/>
      </c>
      <c r="E32" s="17">
        <f>D32*1.25</f>
        <v/>
      </c>
      <c r="F32" s="17">
        <f>E32*1.25</f>
        <v/>
      </c>
      <c r="G32" s="17">
        <f>F32*1.25</f>
        <v/>
      </c>
    </row>
    <row r="33">
      <c r="A33" t="inlineStr">
        <is>
          <t>− Loans to Equity Holders/Mgmt</t>
        </is>
      </c>
      <c r="B33" s="14" t="n">
        <v>0</v>
      </c>
      <c r="C33" s="17">
        <f>B33*1.25</f>
        <v/>
      </c>
      <c r="D33" s="17">
        <f>C33*1.25</f>
        <v/>
      </c>
      <c r="E33" s="17">
        <f>D33*1.25</f>
        <v/>
      </c>
      <c r="F33" s="17">
        <f>E33*1.25</f>
        <v/>
      </c>
      <c r="G33" s="17">
        <f>F33*1.25</f>
        <v/>
      </c>
    </row>
    <row r="34">
      <c r="A34" t="inlineStr">
        <is>
          <t>− Amounts Due from Subsidiaries</t>
        </is>
      </c>
      <c r="B34" s="14" t="n">
        <v>10453576</v>
      </c>
      <c r="C34" s="17">
        <f>B34*1.25</f>
        <v/>
      </c>
      <c r="D34" s="17">
        <f>C34*1.25</f>
        <v/>
      </c>
      <c r="E34" s="17">
        <f>D34*1.25</f>
        <v/>
      </c>
      <c r="F34" s="17">
        <f>E34*1.25</f>
        <v/>
      </c>
      <c r="G34" s="17">
        <f>F34*1.25</f>
        <v/>
      </c>
    </row>
    <row r="35">
      <c r="A35" t="inlineStr">
        <is>
          <t>− Deferred Cost</t>
        </is>
      </c>
      <c r="B35" s="14" t="n">
        <v>0</v>
      </c>
      <c r="C35" s="17">
        <f>B35*1.25</f>
        <v/>
      </c>
      <c r="D35" s="17">
        <f>C35*1.25</f>
        <v/>
      </c>
      <c r="E35" s="17">
        <f>D35*1.25</f>
        <v/>
      </c>
      <c r="F35" s="17">
        <f>E35*1.25</f>
        <v/>
      </c>
      <c r="G35" s="17">
        <f>F35*1.25</f>
        <v/>
      </c>
    </row>
    <row r="36">
      <c r="A36" t="inlineStr">
        <is>
          <t>− Intangible Assets</t>
        </is>
      </c>
      <c r="B36" s="14" t="n">
        <v>5082877</v>
      </c>
      <c r="C36" s="17">
        <f>B36*1.25</f>
        <v/>
      </c>
      <c r="D36" s="17">
        <f>C36*1.25</f>
        <v/>
      </c>
      <c r="E36" s="17">
        <f>D36*1.25</f>
        <v/>
      </c>
      <c r="F36" s="17">
        <f>E36*1.25</f>
        <v/>
      </c>
      <c r="G36" s="17">
        <f>F36*1.25</f>
        <v/>
      </c>
    </row>
    <row r="37">
      <c r="A37" t="inlineStr">
        <is>
          <t>Adjusted Current Assets</t>
        </is>
      </c>
      <c r="B37" s="101" t="n">
        <v>162003936</v>
      </c>
      <c r="C37" s="101">
        <f>C32-SUM(C33:C36)</f>
        <v/>
      </c>
      <c r="D37" s="101">
        <f>D32-SUM(D33:D36)</f>
        <v/>
      </c>
      <c r="E37" s="101">
        <f>E32-SUM(E33:E36)</f>
        <v/>
      </c>
      <c r="F37" s="101">
        <f>F32-SUM(F33:F36)</f>
        <v/>
      </c>
      <c r="G37" s="101">
        <f>G32-SUM(G33:G36)</f>
        <v/>
      </c>
    </row>
    <row r="38">
      <c r="A38" t="inlineStr">
        <is>
          <t>Current Liabilities</t>
        </is>
      </c>
      <c r="B38" s="14" t="n">
        <v>133403282</v>
      </c>
      <c r="C38" s="17">
        <f>B38*1.25</f>
        <v/>
      </c>
      <c r="D38" s="17">
        <f>C38*1.25</f>
        <v/>
      </c>
      <c r="E38" s="17">
        <f>D38*1.25</f>
        <v/>
      </c>
      <c r="F38" s="17">
        <f>E38*1.25</f>
        <v/>
      </c>
      <c r="G38" s="17">
        <f>F38*1.25</f>
        <v/>
      </c>
    </row>
    <row r="40">
      <c r="A40" s="1" t="inlineStr">
        <is>
          <t>Current Ratio</t>
        </is>
      </c>
      <c r="B40" s="104">
        <f>B37/B38</f>
        <v/>
      </c>
      <c r="C40" s="104">
        <f>C37/C38</f>
        <v/>
      </c>
      <c r="D40" s="104">
        <f>D37/D38</f>
        <v/>
      </c>
      <c r="E40" s="104">
        <f>E37/E38</f>
        <v/>
      </c>
      <c r="F40" s="104">
        <f>F37/F38</f>
        <v/>
      </c>
      <c r="G40" s="104">
        <f>G37/G38</f>
        <v/>
      </c>
    </row>
    <row r="41">
      <c r="A41" t="inlineStr">
        <is>
          <t>Minimum requirement</t>
        </is>
      </c>
      <c r="B41" s="36" t="n">
        <v>1.1</v>
      </c>
      <c r="C41" s="36" t="n">
        <v>1.1</v>
      </c>
      <c r="D41" s="36" t="n">
        <v>1.1</v>
      </c>
      <c r="E41" s="36" t="n">
        <v>1.1</v>
      </c>
      <c r="F41" s="36" t="n">
        <v>1.1</v>
      </c>
      <c r="G41" s="36" t="n">
        <v>1.1</v>
      </c>
    </row>
    <row r="42">
      <c r="A42" t="inlineStr">
        <is>
          <t>Compliance</t>
        </is>
      </c>
      <c r="B42" s="1">
        <f>IF(B40&gt;=B41,"YES","NO")</f>
        <v/>
      </c>
      <c r="C42" s="1">
        <f>IF(C40&gt;=C41,"YES","NO")</f>
        <v/>
      </c>
      <c r="D42" s="1">
        <f>IF(D40&gt;=D41,"YES","NO")</f>
        <v/>
      </c>
      <c r="E42" s="1">
        <f>IF(E40&gt;=E41,"YES","NO")</f>
        <v/>
      </c>
      <c r="F42" s="1">
        <f>IF(F40&gt;=F41,"YES","NO")</f>
        <v/>
      </c>
      <c r="G42" s="1">
        <f>IF(G40&gt;=G41,"YES","NO")</f>
        <v/>
      </c>
    </row>
  </sheetData>
  <mergeCells count="3">
    <mergeCell ref="A31:F31"/>
    <mergeCell ref="A6:F6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50" customWidth="1" style="50" min="1" max="1"/>
    <col width="14" customWidth="1" style="50" min="2" max="2"/>
    <col width="14" customWidth="1" style="50" min="3" max="3"/>
    <col width="14" customWidth="1" style="50" min="4" max="4"/>
    <col width="14" customWidth="1" style="50" min="5" max="5"/>
    <col width="14" customWidth="1" style="50" min="6" max="6"/>
    <col width="14" customWidth="1" style="50" min="7" max="7"/>
    <col width="14" customWidth="1" style="50" min="8" max="8"/>
    <col width="16" customWidth="1" style="50" min="9" max="9"/>
  </cols>
  <sheetData>
    <row r="1" ht="24" customHeight="1" s="50">
      <c r="A1" s="105" t="inlineStr">
        <is>
          <t>Credit View — Adjusted Leverage with Mepco IAA as Debt-Equivalent</t>
        </is>
      </c>
    </row>
    <row r="2">
      <c r="A2" s="53" t="inlineStr">
        <is>
          <t>Sophisticated credit analysts (S&amp;P, KBW, sponsor LP/MM) treat the Mepco IAA outstanding as debt-equivalent: Mepco advances $1,450/contract upfront, CX repays via customer payment stream over 24 months, with cross-collateralization and a direct insurer-claim mechanic on CX insolvency.</t>
        </is>
      </c>
    </row>
    <row r="4">
      <c r="B4" s="54" t="inlineStr">
        <is>
          <t>12/31/24</t>
        </is>
      </c>
      <c r="C4" s="54" t="inlineStr">
        <is>
          <t>12/31/25</t>
        </is>
      </c>
      <c r="D4" s="54" t="inlineStr">
        <is>
          <t>12/31/26E</t>
        </is>
      </c>
      <c r="E4" s="54" t="inlineStr">
        <is>
          <t>12/31/27E</t>
        </is>
      </c>
      <c r="F4" s="54" t="inlineStr">
        <is>
          <t>12/31/28E</t>
        </is>
      </c>
      <c r="G4" s="54" t="inlineStr">
        <is>
          <t>12/31/29E</t>
        </is>
      </c>
      <c r="H4" s="54" t="inlineStr">
        <is>
          <t>12/31/30E</t>
        </is>
      </c>
    </row>
    <row r="6">
      <c r="A6" s="106" t="inlineStr">
        <is>
          <t>DEBT STACK</t>
        </is>
      </c>
    </row>
    <row r="7">
      <c r="A7" s="56" t="inlineStr">
        <is>
          <t>CNB Line of Credit (drawn)</t>
        </is>
      </c>
      <c r="B7" s="57" t="n">
        <v>15000000</v>
      </c>
      <c r="C7" s="57" t="n">
        <v>15000000</v>
      </c>
      <c r="D7" s="57" t="n">
        <v>15000000</v>
      </c>
      <c r="E7" s="57" t="n">
        <v>15000000</v>
      </c>
      <c r="F7" s="57" t="n">
        <v>15000000</v>
      </c>
      <c r="G7" s="57" t="n">
        <v>15000000</v>
      </c>
      <c r="H7" s="57" t="n">
        <v>15000000</v>
      </c>
    </row>
    <row r="8">
      <c r="A8" s="56" t="inlineStr">
        <is>
          <t xml:space="preserve">  Less: CD collateral (pledged at CNB)</t>
        </is>
      </c>
      <c r="B8" s="57" t="n">
        <v>-15000000</v>
      </c>
      <c r="C8" s="57" t="n">
        <v>-15000000</v>
      </c>
      <c r="D8" s="57" t="n">
        <v>-15000000</v>
      </c>
      <c r="E8" s="57" t="n">
        <v>-15000000</v>
      </c>
      <c r="F8" s="57" t="n">
        <v>-15000000</v>
      </c>
      <c r="G8" s="57" t="n">
        <v>-15000000</v>
      </c>
      <c r="H8" s="57" t="n">
        <v>-15000000</v>
      </c>
    </row>
    <row r="9">
      <c r="A9" s="54" t="inlineStr">
        <is>
          <t>Net CNB debt</t>
        </is>
      </c>
      <c r="B9" s="58">
        <f>B7+B8</f>
        <v/>
      </c>
      <c r="C9" s="58">
        <f>C7+C8</f>
        <v/>
      </c>
      <c r="D9" s="58">
        <f>D7+D8</f>
        <v/>
      </c>
      <c r="E9" s="58">
        <f>E7+E8</f>
        <v/>
      </c>
      <c r="F9" s="58">
        <f>F7+F8</f>
        <v/>
      </c>
      <c r="G9" s="58">
        <f>G7+G8</f>
        <v/>
      </c>
      <c r="H9" s="58">
        <f>H7+H8</f>
        <v/>
      </c>
    </row>
    <row r="10">
      <c r="A10" s="56" t="inlineStr">
        <is>
          <t xml:space="preserve">  Mepco IAA outstanding (debt-equivalent)</t>
        </is>
      </c>
      <c r="B10" s="59">
        <f>'Mepco Outstanding'!C10</f>
        <v/>
      </c>
      <c r="C10" s="59">
        <f>'Mepco Outstanding'!O10</f>
        <v/>
      </c>
      <c r="D10" s="59">
        <f>'Mepco Outstanding'!AA10</f>
        <v/>
      </c>
      <c r="E10" s="59">
        <f>'Mepco Outstanding'!AM10</f>
        <v/>
      </c>
      <c r="F10" s="59">
        <f>'Mepco Outstanding'!AY10</f>
        <v/>
      </c>
      <c r="G10" s="59">
        <f>'Mepco Outstanding'!BK10</f>
        <v/>
      </c>
      <c r="H10" s="59">
        <f>'Mepco Outstanding'!BW10</f>
        <v/>
      </c>
    </row>
    <row r="11">
      <c r="A11" s="54" t="inlineStr">
        <is>
          <t>TOTAL DEBT (CNB + Mepco IAA)</t>
        </is>
      </c>
      <c r="B11" s="107">
        <f>B7+B10</f>
        <v/>
      </c>
      <c r="C11" s="107">
        <f>C7+C10</f>
        <v/>
      </c>
      <c r="D11" s="107">
        <f>D7+D10</f>
        <v/>
      </c>
      <c r="E11" s="107">
        <f>E7+E10</f>
        <v/>
      </c>
      <c r="F11" s="107">
        <f>F7+F10</f>
        <v/>
      </c>
      <c r="G11" s="107">
        <f>G7+G10</f>
        <v/>
      </c>
      <c r="H11" s="107">
        <f>H7+H10</f>
        <v/>
      </c>
    </row>
    <row r="12">
      <c r="A12" s="54" t="inlineStr">
        <is>
          <t>NET DEBT (Total − CD − unrestricted cash)</t>
        </is>
      </c>
      <c r="B12" s="58">
        <f>B11+B8-1100000</f>
        <v/>
      </c>
      <c r="C12" s="58">
        <f>C11+C8-1100000</f>
        <v/>
      </c>
      <c r="D12" s="58">
        <f>D11+D8-1100000</f>
        <v/>
      </c>
      <c r="E12" s="58">
        <f>E11+E8-1100000</f>
        <v/>
      </c>
      <c r="F12" s="58">
        <f>F11+F8-1100000</f>
        <v/>
      </c>
      <c r="G12" s="58">
        <f>G11+G8-1100000</f>
        <v/>
      </c>
      <c r="H12" s="58">
        <f>H11+H8-1100000</f>
        <v/>
      </c>
    </row>
    <row r="14">
      <c r="A14" s="106" t="inlineStr">
        <is>
          <t>EBITDA — REPORTED &amp; ADJUSTED</t>
        </is>
      </c>
    </row>
    <row r="15">
      <c r="A15" s="56" t="inlineStr">
        <is>
          <t>Reported EBIT (Operating Income)</t>
        </is>
      </c>
      <c r="B15" s="59">
        <f>'Financial Summary'!B29</f>
        <v/>
      </c>
      <c r="C15" s="59">
        <f>'Financial Summary'!C29</f>
        <v/>
      </c>
      <c r="D15" s="59">
        <f>'Financial Summary'!D29</f>
        <v/>
      </c>
      <c r="E15" s="59">
        <f>'Financial Summary'!E29</f>
        <v/>
      </c>
      <c r="F15" s="59">
        <f>'Financial Summary'!F29</f>
        <v/>
      </c>
      <c r="G15" s="59">
        <f>'Financial Summary'!G29</f>
        <v/>
      </c>
      <c r="H15" s="59">
        <f>'Financial Summary'!H29</f>
        <v/>
      </c>
    </row>
    <row r="16">
      <c r="A16" s="56" t="inlineStr">
        <is>
          <t>+ Mepco Performance Bond premium (already in COS)</t>
        </is>
      </c>
      <c r="B16" s="59" t="n">
        <v>0</v>
      </c>
      <c r="C16" s="59">
        <f>SUM('Mepco Outstanding'!D12:O12)</f>
        <v/>
      </c>
      <c r="D16" s="59">
        <f>SUM('Mepco Outstanding'!P12:AA12)</f>
        <v/>
      </c>
      <c r="E16" s="59">
        <f>SUM('Mepco Outstanding'!AB12:AM12)</f>
        <v/>
      </c>
      <c r="F16" s="59">
        <f>SUM('Mepco Outstanding'!AN12:AY12)</f>
        <v/>
      </c>
      <c r="G16" s="59">
        <f>SUM('Mepco Outstanding'!AZ12:BK12)</f>
        <v/>
      </c>
      <c r="H16" s="59">
        <f>SUM('Mepco Outstanding'!BL12:BW12)</f>
        <v/>
      </c>
    </row>
    <row r="17">
      <c r="A17" s="56" t="inlineStr">
        <is>
          <t>+ Add-back pending QofE diligence (placeholder $0)</t>
        </is>
      </c>
      <c r="B17" s="57" t="n">
        <v>0</v>
      </c>
      <c r="C17" s="57" t="n">
        <v>0</v>
      </c>
      <c r="D17" s="57" t="n">
        <v>0</v>
      </c>
      <c r="E17" s="57" t="n">
        <v>0</v>
      </c>
      <c r="F17" s="57" t="n">
        <v>0</v>
      </c>
      <c r="G17" s="57" t="n">
        <v>0</v>
      </c>
      <c r="H17" s="57" t="n">
        <v>0</v>
      </c>
      <c r="I17" s="53" t="inlineStr">
        <is>
          <t>V51 had fabricated 5% rev addback; V52 sets to $0 until owner comp data available</t>
        </is>
      </c>
    </row>
    <row r="18">
      <c r="A18" s="54" t="inlineStr">
        <is>
          <t>Adjusted EBITDA</t>
        </is>
      </c>
      <c r="B18" s="107">
        <f>B15+B16+B17</f>
        <v/>
      </c>
      <c r="C18" s="107">
        <f>C15+C16+C17</f>
        <v/>
      </c>
      <c r="D18" s="107">
        <f>D15+D16+D17</f>
        <v/>
      </c>
      <c r="E18" s="107">
        <f>E15+E16+E17</f>
        <v/>
      </c>
      <c r="F18" s="107">
        <f>F15+F16+F17</f>
        <v/>
      </c>
      <c r="G18" s="107">
        <f>G15+G16+G17</f>
        <v/>
      </c>
      <c r="H18" s="107">
        <f>H15+H16+H17</f>
        <v/>
      </c>
    </row>
    <row r="20">
      <c r="A20" s="106" t="inlineStr">
        <is>
          <t>LEVERAGE RATIOS</t>
        </is>
      </c>
    </row>
    <row r="21">
      <c r="A21" s="54" t="inlineStr">
        <is>
          <t>CNB Net Debt / Reported EBIT</t>
        </is>
      </c>
      <c r="B21" s="62">
        <f>IFERROR(B9/B15,0)</f>
        <v/>
      </c>
      <c r="C21" s="62">
        <f>IFERROR(C9/C15,0)</f>
        <v/>
      </c>
      <c r="D21" s="62">
        <f>IFERROR(D9/D15,0)</f>
        <v/>
      </c>
      <c r="E21" s="62">
        <f>IFERROR(E9/E15,0)</f>
        <v/>
      </c>
      <c r="F21" s="62">
        <f>IFERROR(F9/F15,0)</f>
        <v/>
      </c>
      <c r="G21" s="62">
        <f>IFERROR(G9/G15,0)</f>
        <v/>
      </c>
      <c r="H21" s="62">
        <f>IFERROR(H9/H15,0)</f>
        <v/>
      </c>
    </row>
    <row r="22">
      <c r="A22" s="54" t="inlineStr">
        <is>
          <t>TOTAL DEBT / Adjusted EBITDA</t>
        </is>
      </c>
      <c r="B22" s="108">
        <f>IFERROR(B11/B18,0)</f>
        <v/>
      </c>
      <c r="C22" s="108">
        <f>IFERROR(C11/C18,0)</f>
        <v/>
      </c>
      <c r="D22" s="108">
        <f>IFERROR(D11/D18,0)</f>
        <v/>
      </c>
      <c r="E22" s="108">
        <f>IFERROR(E11/E18,0)</f>
        <v/>
      </c>
      <c r="F22" s="108">
        <f>IFERROR(F11/F18,0)</f>
        <v/>
      </c>
      <c r="G22" s="108">
        <f>IFERROR(G11/G18,0)</f>
        <v/>
      </c>
      <c r="H22" s="108">
        <f>IFERROR(H11/H18,0)</f>
        <v/>
      </c>
    </row>
    <row r="23">
      <c r="A23" s="54" t="inlineStr">
        <is>
          <t>NET DEBT / Adjusted EBITDA</t>
        </is>
      </c>
      <c r="B23" s="108">
        <f>IFERROR(B12/B18,0)</f>
        <v/>
      </c>
      <c r="C23" s="108">
        <f>IFERROR(C12/C18,0)</f>
        <v/>
      </c>
      <c r="D23" s="108">
        <f>IFERROR(D12/D18,0)</f>
        <v/>
      </c>
      <c r="E23" s="108">
        <f>IFERROR(E12/E18,0)</f>
        <v/>
      </c>
      <c r="F23" s="108">
        <f>IFERROR(F12/F18,0)</f>
        <v/>
      </c>
      <c r="G23" s="108">
        <f>IFERROR(G12/G18,0)</f>
        <v/>
      </c>
      <c r="H23" s="108">
        <f>IFERROR(H12/H18,0)</f>
        <v/>
      </c>
    </row>
    <row r="24">
      <c r="A24" s="54" t="inlineStr">
        <is>
          <t>Mepco IAA / Adjusted EBITDA (concentration metric)</t>
        </is>
      </c>
      <c r="B24" s="64">
        <f>IFERROR(B10/B18,0)</f>
        <v/>
      </c>
      <c r="C24" s="64">
        <f>IFERROR(C10/C18,0)</f>
        <v/>
      </c>
      <c r="D24" s="64">
        <f>IFERROR(D10/D18,0)</f>
        <v/>
      </c>
      <c r="E24" s="64">
        <f>IFERROR(E10/E18,0)</f>
        <v/>
      </c>
      <c r="F24" s="64">
        <f>IFERROR(F10/F18,0)</f>
        <v/>
      </c>
      <c r="G24" s="64">
        <f>IFERROR(G10/G18,0)</f>
        <v/>
      </c>
      <c r="H24" s="64">
        <f>IFERROR(H10/H18,0)</f>
        <v/>
      </c>
    </row>
    <row r="26">
      <c r="A26" s="106" t="inlineStr">
        <is>
          <t>COVERAGE &amp; EFFICIENCY</t>
        </is>
      </c>
    </row>
    <row r="27">
      <c r="A27" s="56" t="inlineStr">
        <is>
          <t>Cash interest expense (CNB only)</t>
        </is>
      </c>
      <c r="B27" s="57" t="n">
        <v>0</v>
      </c>
      <c r="C27" s="57" t="n">
        <v>765000</v>
      </c>
      <c r="D27" s="57" t="n">
        <v>1275000</v>
      </c>
      <c r="E27" s="57" t="n">
        <v>1275000</v>
      </c>
      <c r="F27" s="57" t="n">
        <v>1275000</v>
      </c>
      <c r="G27" s="57" t="n">
        <v>1275000</v>
      </c>
      <c r="H27" s="57" t="n">
        <v>1275000</v>
      </c>
    </row>
    <row r="28">
      <c r="A28" s="56" t="inlineStr">
        <is>
          <t>Mepco PB premium (implicit financing cost)</t>
        </is>
      </c>
      <c r="B28" s="59" t="n">
        <v>0</v>
      </c>
      <c r="C28" s="59">
        <f>SUM('Mepco Outstanding'!D12:O12)</f>
        <v/>
      </c>
      <c r="D28" s="59">
        <f>SUM('Mepco Outstanding'!P12:AA12)</f>
        <v/>
      </c>
      <c r="E28" s="59">
        <f>SUM('Mepco Outstanding'!AB12:AM12)</f>
        <v/>
      </c>
      <c r="F28" s="59">
        <f>SUM('Mepco Outstanding'!AN12:AY12)</f>
        <v/>
      </c>
      <c r="G28" s="59">
        <f>SUM('Mepco Outstanding'!AZ12:BK12)</f>
        <v/>
      </c>
      <c r="H28" s="59">
        <f>SUM('Mepco Outstanding'!BL12:BW12)</f>
        <v/>
      </c>
    </row>
    <row r="29">
      <c r="A29" s="54" t="inlineStr">
        <is>
          <t>Total financing cost (CNB int + Mepco PB)</t>
        </is>
      </c>
      <c r="B29" s="58">
        <f>B27+B28</f>
        <v/>
      </c>
      <c r="C29" s="58">
        <f>C27+C28</f>
        <v/>
      </c>
      <c r="D29" s="58">
        <f>D27+D28</f>
        <v/>
      </c>
      <c r="E29" s="58">
        <f>E27+E28</f>
        <v/>
      </c>
      <c r="F29" s="58">
        <f>F27+F28</f>
        <v/>
      </c>
      <c r="G29" s="58">
        <f>G27+G28</f>
        <v/>
      </c>
      <c r="H29" s="58">
        <f>H27+H28</f>
        <v/>
      </c>
    </row>
    <row r="30">
      <c r="A30" s="54" t="inlineStr">
        <is>
          <t>Adj EBITDA / CNB Interest</t>
        </is>
      </c>
      <c r="B30" s="62">
        <f>IFERROR(B18/B27,0)</f>
        <v/>
      </c>
      <c r="C30" s="62">
        <f>IFERROR(C18/C27,0)</f>
        <v/>
      </c>
      <c r="D30" s="62">
        <f>IFERROR(D18/D27,0)</f>
        <v/>
      </c>
      <c r="E30" s="62">
        <f>IFERROR(E18/E27,0)</f>
        <v/>
      </c>
      <c r="F30" s="62">
        <f>IFERROR(F18/F27,0)</f>
        <v/>
      </c>
      <c r="G30" s="62">
        <f>IFERROR(G18/G27,0)</f>
        <v/>
      </c>
      <c r="H30" s="62">
        <f>IFERROR(H18/H27,0)</f>
        <v/>
      </c>
    </row>
    <row r="31">
      <c r="A31" s="54" t="inlineStr">
        <is>
          <t>Adj EBITDA / Total Financing Cost</t>
        </is>
      </c>
      <c r="B31" s="109">
        <f>IFERROR(B18/B29,0)</f>
        <v/>
      </c>
      <c r="C31" s="109">
        <f>IFERROR(C18/C29,0)</f>
        <v/>
      </c>
      <c r="D31" s="109">
        <f>IFERROR(D18/D29,0)</f>
        <v/>
      </c>
      <c r="E31" s="109">
        <f>IFERROR(E18/E29,0)</f>
        <v/>
      </c>
      <c r="F31" s="109">
        <f>IFERROR(F18/F29,0)</f>
        <v/>
      </c>
      <c r="G31" s="109">
        <f>IFERROR(G18/G29,0)</f>
        <v/>
      </c>
      <c r="H31" s="109">
        <f>IFERROR(H18/H29,0)</f>
        <v/>
      </c>
    </row>
    <row r="33">
      <c r="A33" s="106" t="inlineStr">
        <is>
          <t>COVENANT CUSHION (CNB facility)</t>
        </is>
      </c>
    </row>
    <row r="34">
      <c r="A34" s="56" t="inlineStr">
        <is>
          <t>FCCR (TTM)</t>
        </is>
      </c>
      <c r="B34" s="53" t="inlineStr">
        <is>
          <t>n/a</t>
        </is>
      </c>
      <c r="C34" s="66">
        <f>Covenants!B26</f>
        <v/>
      </c>
      <c r="D34" s="66">
        <f>Covenants!C26</f>
        <v/>
      </c>
      <c r="E34" s="66">
        <f>Covenants!D26</f>
        <v/>
      </c>
      <c r="F34" s="66">
        <f>Covenants!E26</f>
        <v/>
      </c>
      <c r="G34" s="66">
        <f>Covenants!F26</f>
        <v/>
      </c>
      <c r="H34" s="66">
        <f>Covenants!G26</f>
        <v/>
      </c>
    </row>
    <row r="35">
      <c r="A35" t="inlineStr">
        <is>
          <t>FCCR minimum requirement</t>
        </is>
      </c>
      <c r="B35" s="9" t="n">
        <v>1.5</v>
      </c>
      <c r="C35" s="9" t="n">
        <v>1.5</v>
      </c>
      <c r="D35" s="9" t="n">
        <v>1.5</v>
      </c>
      <c r="E35" s="9" t="n">
        <v>1.5</v>
      </c>
      <c r="F35" s="9" t="n">
        <v>1.5</v>
      </c>
      <c r="G35" s="9" t="n">
        <v>1.5</v>
      </c>
      <c r="H35" s="9" t="n">
        <v>1.5</v>
      </c>
    </row>
    <row r="36">
      <c r="A36" s="54" t="inlineStr">
        <is>
          <t>FCCR cushion (× over minimum)</t>
        </is>
      </c>
      <c r="B36" s="53" t="inlineStr">
        <is>
          <t>n/a</t>
        </is>
      </c>
      <c r="C36" s="67">
        <f>IFERROR(C34/C35-1,0)</f>
        <v/>
      </c>
      <c r="D36" s="67">
        <f>IFERROR(D34/D35-1,0)</f>
        <v/>
      </c>
      <c r="E36" s="67">
        <f>IFERROR(E34/E35-1,0)</f>
        <v/>
      </c>
      <c r="F36" s="67">
        <f>IFERROR(F34/F35-1,0)</f>
        <v/>
      </c>
      <c r="G36" s="67">
        <f>IFERROR(G34/G35-1,0)</f>
        <v/>
      </c>
      <c r="H36" s="67">
        <f>IFERROR(H34/H35-1,0)</f>
        <v/>
      </c>
    </row>
    <row r="38">
      <c r="A38" s="56" t="inlineStr">
        <is>
          <t>Current Ratio</t>
        </is>
      </c>
      <c r="B38" s="53" t="inlineStr">
        <is>
          <t>n/a</t>
        </is>
      </c>
      <c r="C38" s="66">
        <f>Covenants!B40</f>
        <v/>
      </c>
      <c r="D38" s="66">
        <f>Covenants!C40</f>
        <v/>
      </c>
      <c r="E38" s="66">
        <f>Covenants!D40</f>
        <v/>
      </c>
      <c r="F38" s="66">
        <f>Covenants!E40</f>
        <v/>
      </c>
      <c r="G38" s="66">
        <f>Covenants!F40</f>
        <v/>
      </c>
      <c r="H38" s="66">
        <f>Covenants!G40</f>
        <v/>
      </c>
    </row>
    <row r="39">
      <c r="A39" t="inlineStr">
        <is>
          <t>Current Ratio minimum</t>
        </is>
      </c>
      <c r="B39" s="9" t="n">
        <v>1.1</v>
      </c>
      <c r="C39" s="9" t="n">
        <v>1.1</v>
      </c>
      <c r="D39" s="9" t="n">
        <v>1.1</v>
      </c>
      <c r="E39" s="9" t="n">
        <v>1.1</v>
      </c>
      <c r="F39" s="9" t="n">
        <v>1.1</v>
      </c>
      <c r="G39" s="9" t="n">
        <v>1.1</v>
      </c>
      <c r="H39" s="9" t="n">
        <v>1.1</v>
      </c>
    </row>
    <row r="40">
      <c r="A40" s="54" t="inlineStr">
        <is>
          <t>Current Ratio cushion</t>
        </is>
      </c>
      <c r="B40" s="53" t="inlineStr">
        <is>
          <t>n/a</t>
        </is>
      </c>
      <c r="C40" s="67">
        <f>IFERROR(C38/C39-1,0)</f>
        <v/>
      </c>
      <c r="D40" s="67">
        <f>IFERROR(D38/D39-1,0)</f>
        <v/>
      </c>
      <c r="E40" s="67">
        <f>IFERROR(E38/E39-1,0)</f>
        <v/>
      </c>
      <c r="F40" s="67">
        <f>IFERROR(F38/F39-1,0)</f>
        <v/>
      </c>
      <c r="G40" s="67">
        <f>IFERROR(G38/G39-1,0)</f>
        <v/>
      </c>
      <c r="H40" s="67">
        <f>IFERROR(H38/H39-1,0)</f>
        <v/>
      </c>
    </row>
    <row r="42">
      <c r="A42" s="106" t="inlineStr">
        <is>
          <t>CREDIT NOTES — what changes when you fold Mepco in</t>
        </is>
      </c>
    </row>
    <row r="43">
      <c r="A43" s="53" t="inlineStr">
        <is>
          <t>• CNB facility alone reads as effectively unlevered ($0 net debt after CD collateral) — a misleading view of CX credit risk.</t>
        </is>
      </c>
    </row>
    <row r="44">
      <c r="A44" s="53" t="inlineStr">
        <is>
          <t>• Mepco IAA outstanding (~$105M Sep-25) is a financing obligation backed by customer payment stream + Performance Bond + Surety claim against insurer.</t>
        </is>
      </c>
    </row>
    <row r="45">
      <c r="A45" s="53" t="inlineStr">
        <is>
          <t>• On a debt-equivalent basis, CX runs ~3x Total Debt / Adjusted EBITDA at LTM Sep-25 — meaningful leverage for a growth-stage specialty F&amp;I underwriter.</t>
        </is>
      </c>
    </row>
    <row r="46">
      <c r="A46" s="53" t="inlineStr">
        <is>
          <t>• PB premium (6% of IAA originated) is real financing cost (~$8-12M/yr at 2025 run-rate) that should be in coverage analysis.</t>
        </is>
      </c>
    </row>
    <row r="47">
      <c r="A47" s="53" t="inlineStr">
        <is>
          <t>• Insolvency waterfall: Mepco files claim directly with insurer for outstanding IAA balances ahead of equity recovery — equity sits subordinate to Mepco even though Mepco is technically a counterparty not a lender.</t>
        </is>
      </c>
    </row>
    <row r="48">
      <c r="A48" s="53" t="inlineStr">
        <is>
          <t>• For LBO modeling, treat Mepco IAA in Sources &amp; Uses as assumed debt — funding gap calculations depend on this.</t>
        </is>
      </c>
    </row>
    <row r="49">
      <c r="A49" s="53" t="inlineStr">
        <is>
          <t>• For a sell-side narrative, the bridge worth showing buyers: "Adj EBITDA $34M, $0 net debt to CNB" → "but with Mepco rolled in: 3x leverage, growing to 1.0x by 2028E as the business scales out of working-capital drag."</t>
        </is>
      </c>
    </row>
  </sheetData>
  <mergeCells count="7">
    <mergeCell ref="A26:H26"/>
    <mergeCell ref="A20:H20"/>
    <mergeCell ref="A42:H42"/>
    <mergeCell ref="A33:H33"/>
    <mergeCell ref="A14:H14"/>
    <mergeCell ref="A1:H1"/>
    <mergeCell ref="A6:H6"/>
  </mergeCells>
  <conditionalFormatting sqref="B22">
    <cfRule type="cellIs" priority="1" operator="greaterThan" dxfId="0">
      <formula>5</formula>
    </cfRule>
    <cfRule type="cellIs" priority="2" operator="between" dxfId="1">
      <formula>3</formula>
      <formula>5</formula>
    </cfRule>
    <cfRule type="cellIs" priority="3" operator="lessThan" dxfId="2">
      <formula>3</formula>
    </cfRule>
  </conditionalFormatting>
  <conditionalFormatting sqref="C22">
    <cfRule type="cellIs" priority="4" operator="greaterThan" dxfId="0">
      <formula>5</formula>
    </cfRule>
    <cfRule type="cellIs" priority="5" operator="between" dxfId="1">
      <formula>3</formula>
      <formula>5</formula>
    </cfRule>
    <cfRule type="cellIs" priority="6" operator="lessThan" dxfId="2">
      <formula>3</formula>
    </cfRule>
  </conditionalFormatting>
  <conditionalFormatting sqref="D22">
    <cfRule type="cellIs" priority="7" operator="greaterThan" dxfId="0">
      <formula>5</formula>
    </cfRule>
    <cfRule type="cellIs" priority="8" operator="between" dxfId="1">
      <formula>3</formula>
      <formula>5</formula>
    </cfRule>
    <cfRule type="cellIs" priority="9" operator="lessThan" dxfId="2">
      <formula>3</formula>
    </cfRule>
  </conditionalFormatting>
  <conditionalFormatting sqref="E22">
    <cfRule type="cellIs" priority="10" operator="greaterThan" dxfId="0">
      <formula>5</formula>
    </cfRule>
    <cfRule type="cellIs" priority="11" operator="between" dxfId="1">
      <formula>3</formula>
      <formula>5</formula>
    </cfRule>
    <cfRule type="cellIs" priority="12" operator="lessThan" dxfId="2">
      <formula>3</formula>
    </cfRule>
  </conditionalFormatting>
  <conditionalFormatting sqref="F22">
    <cfRule type="cellIs" priority="13" operator="greaterThan" dxfId="0">
      <formula>5</formula>
    </cfRule>
    <cfRule type="cellIs" priority="14" operator="between" dxfId="1">
      <formula>3</formula>
      <formula>5</formula>
    </cfRule>
    <cfRule type="cellIs" priority="15" operator="lessThan" dxfId="2">
      <formula>3</formula>
    </cfRule>
  </conditionalFormatting>
  <conditionalFormatting sqref="G22">
    <cfRule type="cellIs" priority="16" operator="greaterThan" dxfId="0">
      <formula>5</formula>
    </cfRule>
    <cfRule type="cellIs" priority="17" operator="between" dxfId="1">
      <formula>3</formula>
      <formula>5</formula>
    </cfRule>
    <cfRule type="cellIs" priority="18" operator="lessThan" dxfId="2">
      <formula>3</formula>
    </cfRule>
  </conditionalFormatting>
  <conditionalFormatting sqref="H22">
    <cfRule type="cellIs" priority="19" operator="greaterThan" dxfId="0">
      <formula>5</formula>
    </cfRule>
    <cfRule type="cellIs" priority="20" operator="between" dxfId="1">
      <formula>3</formula>
      <formula>5</formula>
    </cfRule>
    <cfRule type="cellIs" priority="21" operator="lessThan" dxfId="2">
      <formula>3</formula>
    </cfRule>
  </conditionalFormatting>
  <conditionalFormatting sqref="C36">
    <cfRule type="cellIs" priority="22" operator="lessThan" dxfId="0">
      <formula>0</formula>
    </cfRule>
    <cfRule type="cellIs" priority="23" operator="between" dxfId="1">
      <formula>0</formula>
      <formula>0.25</formula>
    </cfRule>
    <cfRule type="cellIs" priority="24" operator="greaterThan" dxfId="2">
      <formula>0.25</formula>
    </cfRule>
  </conditionalFormatting>
  <conditionalFormatting sqref="D36">
    <cfRule type="cellIs" priority="25" operator="lessThan" dxfId="0">
      <formula>0</formula>
    </cfRule>
    <cfRule type="cellIs" priority="26" operator="between" dxfId="1">
      <formula>0</formula>
      <formula>0.25</formula>
    </cfRule>
    <cfRule type="cellIs" priority="27" operator="greaterThan" dxfId="2">
      <formula>0.25</formula>
    </cfRule>
  </conditionalFormatting>
  <conditionalFormatting sqref="E36">
    <cfRule type="cellIs" priority="28" operator="lessThan" dxfId="0">
      <formula>0</formula>
    </cfRule>
    <cfRule type="cellIs" priority="29" operator="between" dxfId="1">
      <formula>0</formula>
      <formula>0.25</formula>
    </cfRule>
    <cfRule type="cellIs" priority="30" operator="greaterThan" dxfId="2">
      <formula>0.25</formula>
    </cfRule>
  </conditionalFormatting>
  <conditionalFormatting sqref="F36">
    <cfRule type="cellIs" priority="31" operator="lessThan" dxfId="0">
      <formula>0</formula>
    </cfRule>
    <cfRule type="cellIs" priority="32" operator="between" dxfId="1">
      <formula>0</formula>
      <formula>0.25</formula>
    </cfRule>
    <cfRule type="cellIs" priority="33" operator="greaterThan" dxfId="2">
      <formula>0.25</formula>
    </cfRule>
  </conditionalFormatting>
  <conditionalFormatting sqref="G36">
    <cfRule type="cellIs" priority="34" operator="lessThan" dxfId="0">
      <formula>0</formula>
    </cfRule>
    <cfRule type="cellIs" priority="35" operator="between" dxfId="1">
      <formula>0</formula>
      <formula>0.25</formula>
    </cfRule>
    <cfRule type="cellIs" priority="36" operator="greaterThan" dxfId="2">
      <formula>0.25</formula>
    </cfRule>
  </conditionalFormatting>
  <conditionalFormatting sqref="H36">
    <cfRule type="cellIs" priority="37" operator="lessThan" dxfId="0">
      <formula>0</formula>
    </cfRule>
    <cfRule type="cellIs" priority="38" operator="between" dxfId="1">
      <formula>0</formula>
      <formula>0.25</formula>
    </cfRule>
    <cfRule type="cellIs" priority="39" operator="greaterThan" dxfId="2">
      <formula>0.25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/>
  </sheetPr>
  <dimension ref="A1:I38"/>
  <sheetViews>
    <sheetView workbookViewId="0">
      <selection activeCell="A1" sqref="A1"/>
    </sheetView>
  </sheetViews>
  <sheetFormatPr baseColWidth="10" defaultColWidth="8.83203125" defaultRowHeight="15"/>
  <cols>
    <col width="44" customWidth="1" style="50" min="1" max="1"/>
    <col width="16" customWidth="1" style="50" min="2" max="7"/>
  </cols>
  <sheetData>
    <row r="1" ht="24" customHeight="1" s="50">
      <c r="A1" s="95" t="inlineStr">
        <is>
          <t>DCF — Discounted Cash Flow Valuation</t>
        </is>
      </c>
    </row>
    <row r="2">
      <c r="A2" s="5" t="inlineStr">
        <is>
          <t>Pulls EBITDA from Financial Summary. WACC from Assumptions. Indicative range only — Coverage X is private.</t>
        </is>
      </c>
    </row>
    <row r="4">
      <c r="A4" s="97" t="inlineStr">
        <is>
          <t>INPUTS (linked to Assumptions)</t>
        </is>
      </c>
    </row>
    <row r="5">
      <c r="A5" t="inlineStr">
        <is>
          <t>WACC</t>
        </is>
      </c>
      <c r="B5" s="99">
        <f>Assumptions!B69</f>
        <v/>
      </c>
    </row>
    <row r="6">
      <c r="A6" t="inlineStr">
        <is>
          <t>Terminal growth</t>
        </is>
      </c>
      <c r="B6" s="110">
        <f>Assumptions!B70</f>
        <v/>
      </c>
    </row>
    <row r="7">
      <c r="A7" t="inlineStr">
        <is>
          <t>Exit multiple (EV/EBITDA)</t>
        </is>
      </c>
      <c r="B7" s="111">
        <f>Assumptions!B71</f>
        <v/>
      </c>
    </row>
    <row r="8">
      <c r="A8" t="inlineStr">
        <is>
          <t>C-corp normalized tax</t>
        </is>
      </c>
      <c r="B8" s="110">
        <f>Assumptions!B68</f>
        <v/>
      </c>
    </row>
    <row r="9">
      <c r="A9" t="inlineStr">
        <is>
          <t>Net debt at Sep-25 ($)</t>
        </is>
      </c>
      <c r="B9" s="14" t="n">
        <v>-1100000</v>
      </c>
    </row>
    <row r="11">
      <c r="A11" s="97" t="inlineStr">
        <is>
          <t>EXPLICIT FORECAST (2026E – 2030E)</t>
        </is>
      </c>
    </row>
    <row r="12">
      <c r="B12" s="1" t="inlineStr">
        <is>
          <t>2026E</t>
        </is>
      </c>
      <c r="C12" s="1" t="inlineStr">
        <is>
          <t>2027E</t>
        </is>
      </c>
      <c r="D12" s="1" t="inlineStr">
        <is>
          <t>2028E</t>
        </is>
      </c>
      <c r="E12" s="1" t="inlineStr">
        <is>
          <t>2029E</t>
        </is>
      </c>
      <c r="F12" s="1" t="inlineStr">
        <is>
          <t>2030E</t>
        </is>
      </c>
    </row>
    <row r="13">
      <c r="A13" s="1" t="inlineStr">
        <is>
          <t>EBITDA (= Op Income, no D&amp;A)</t>
        </is>
      </c>
      <c r="B13" s="103">
        <f>'Financial Summary'!D29</f>
        <v/>
      </c>
      <c r="C13" s="103">
        <f>'Financial Summary'!E29</f>
        <v/>
      </c>
      <c r="D13" s="103">
        <f>'Financial Summary'!F29</f>
        <v/>
      </c>
      <c r="E13" s="103">
        <f>'Financial Summary'!G29</f>
        <v/>
      </c>
      <c r="F13" s="103">
        <f>'Financial Summary'!H29</f>
        <v/>
      </c>
    </row>
    <row r="14">
      <c r="A14" t="inlineStr">
        <is>
          <t>− Tax on EBIT (normalized)</t>
        </is>
      </c>
      <c r="B14" s="17">
        <f>-B13*$B$8</f>
        <v/>
      </c>
      <c r="C14" s="17">
        <f>-C13*$B$8</f>
        <v/>
      </c>
      <c r="D14" s="17">
        <f>-D13*$B$8</f>
        <v/>
      </c>
      <c r="E14" s="17">
        <f>-E13*$B$8</f>
        <v/>
      </c>
      <c r="F14" s="17">
        <f>-F13*$B$8</f>
        <v/>
      </c>
    </row>
    <row r="15">
      <c r="A15" t="inlineStr">
        <is>
          <t>− Δ Working capital (5% × revenue, proxy)</t>
        </is>
      </c>
      <c r="B15" s="17">
        <f>-'Financial Summary'!D11*0.05</f>
        <v/>
      </c>
      <c r="C15" s="17">
        <f>-'Financial Summary'!E11*0.05</f>
        <v/>
      </c>
      <c r="D15" s="17">
        <f>-'Financial Summary'!F11*0.05</f>
        <v/>
      </c>
      <c r="E15" s="17">
        <f>-'Financial Summary'!G11*0.05</f>
        <v/>
      </c>
      <c r="F15" s="17">
        <f>-'Financial Summary'!H11*0.05</f>
        <v/>
      </c>
    </row>
    <row r="16">
      <c r="A16" t="inlineStr">
        <is>
          <t>− CapEx (1% × revenue)</t>
        </is>
      </c>
      <c r="B16" s="17">
        <f>-'Financial Summary'!D11*0.01</f>
        <v/>
      </c>
      <c r="C16" s="17">
        <f>-'Financial Summary'!E11*0.01</f>
        <v/>
      </c>
      <c r="D16" s="17">
        <f>-'Financial Summary'!F11*0.01</f>
        <v/>
      </c>
      <c r="E16" s="17">
        <f>-'Financial Summary'!G11*0.01</f>
        <v/>
      </c>
      <c r="F16" s="17">
        <f>-'Financial Summary'!H11*0.01</f>
        <v/>
      </c>
    </row>
    <row r="17">
      <c r="A17" s="1" t="inlineStr">
        <is>
          <t>Unlevered FCF</t>
        </is>
      </c>
      <c r="B17" s="101">
        <f>SUM(B13:B16)</f>
        <v/>
      </c>
      <c r="C17" s="101">
        <f>SUM(C13:C16)</f>
        <v/>
      </c>
      <c r="D17" s="101">
        <f>SUM(D13:D16)</f>
        <v/>
      </c>
      <c r="E17" s="101">
        <f>SUM(E13:E16)</f>
        <v/>
      </c>
      <c r="F17" s="101">
        <f>SUM(F13:F16)</f>
        <v/>
      </c>
    </row>
    <row r="18">
      <c r="A18" t="inlineStr">
        <is>
          <t>Discount period (mid-year)</t>
        </is>
      </c>
      <c r="B18" s="39" t="n">
        <v>0.5</v>
      </c>
      <c r="C18" s="39" t="n">
        <v>1.5</v>
      </c>
      <c r="D18" s="39" t="n">
        <v>2.5</v>
      </c>
      <c r="E18" s="39" t="n">
        <v>3.5</v>
      </c>
      <c r="F18" s="39" t="n">
        <v>4.5</v>
      </c>
    </row>
    <row r="19">
      <c r="A19" t="inlineStr">
        <is>
          <t>Discount factor</t>
        </is>
      </c>
      <c r="B19" s="40">
        <f>1/(1+$B$5)^B18</f>
        <v/>
      </c>
      <c r="C19" s="40">
        <f>1/(1+$B$5)^C18</f>
        <v/>
      </c>
      <c r="D19" s="40">
        <f>1/(1+$B$5)^D18</f>
        <v/>
      </c>
      <c r="E19" s="40">
        <f>1/(1+$B$5)^E18</f>
        <v/>
      </c>
      <c r="F19" s="40">
        <f>1/(1+$B$5)^F18</f>
        <v/>
      </c>
    </row>
    <row r="20">
      <c r="A20" s="1" t="inlineStr">
        <is>
          <t>PV of FCF</t>
        </is>
      </c>
      <c r="B20" s="28">
        <f>B17*B19</f>
        <v/>
      </c>
      <c r="C20" s="28">
        <f>C17*C19</f>
        <v/>
      </c>
      <c r="D20" s="28">
        <f>D17*D19</f>
        <v/>
      </c>
      <c r="E20" s="28">
        <f>E17*E19</f>
        <v/>
      </c>
      <c r="F20" s="28">
        <f>F17*F19</f>
        <v/>
      </c>
    </row>
    <row r="22">
      <c r="A22" s="97" t="inlineStr">
        <is>
          <t>TERMINAL VALUE</t>
        </is>
      </c>
    </row>
    <row r="23">
      <c r="A23" t="inlineStr">
        <is>
          <t>Method A — Gordon growth: FCF × (1+g) / (WACC − g)</t>
        </is>
      </c>
      <c r="F23" s="17">
        <f>F17*(1+$B$6)/($B$5-$B$6)</f>
        <v/>
      </c>
    </row>
    <row r="24">
      <c r="A24" t="inlineStr">
        <is>
          <t>Method B — Exit multiple: 2030E EBITDA × exit multiple</t>
        </is>
      </c>
      <c r="F24" s="17">
        <f>F13*$B$7</f>
        <v/>
      </c>
    </row>
    <row r="25">
      <c r="A25" s="1" t="inlineStr">
        <is>
          <t>TV — Average</t>
        </is>
      </c>
      <c r="F25" s="101">
        <f>(F23+F24)/2</f>
        <v/>
      </c>
    </row>
    <row r="26">
      <c r="A26" s="1" t="inlineStr">
        <is>
          <t>PV of TV</t>
        </is>
      </c>
      <c r="F26" s="101">
        <f>F25*F19</f>
        <v/>
      </c>
    </row>
    <row r="28">
      <c r="A28" s="97" t="inlineStr">
        <is>
          <t>VALUATION SUMMARY</t>
        </is>
      </c>
    </row>
    <row r="29">
      <c r="A29" t="inlineStr">
        <is>
          <t>Sum PV of FCF (2026-2030)</t>
        </is>
      </c>
      <c r="B29" s="41">
        <f>SUM(B20:F20)</f>
        <v/>
      </c>
    </row>
    <row r="30">
      <c r="A30" t="inlineStr">
        <is>
          <t>+ PV of terminal value</t>
        </is>
      </c>
      <c r="B30" s="41">
        <f>F26</f>
        <v/>
      </c>
    </row>
    <row r="31">
      <c r="A31" s="1" t="inlineStr">
        <is>
          <t>Enterprise Value</t>
        </is>
      </c>
      <c r="B31" s="101">
        <f>B29+B30</f>
        <v/>
      </c>
    </row>
    <row r="32">
      <c r="A32" t="inlineStr">
        <is>
          <t>− Net debt</t>
        </is>
      </c>
      <c r="B32" s="41">
        <f>B9</f>
        <v/>
      </c>
    </row>
    <row r="33">
      <c r="A33" s="1" t="inlineStr">
        <is>
          <t>Equity Value</t>
        </is>
      </c>
      <c r="B33" s="101">
        <f>B31-B32</f>
        <v/>
      </c>
    </row>
    <row r="35">
      <c r="A35" t="inlineStr">
        <is>
          <t>Implied EV / 2030E EBITDA</t>
        </is>
      </c>
      <c r="B35" s="42">
        <f>B31/F13</f>
        <v/>
      </c>
    </row>
    <row r="36">
      <c r="A36" t="inlineStr">
        <is>
          <t>Implied EV / 2026E EBITDA</t>
        </is>
      </c>
      <c r="B36" s="42">
        <f>B31/B13</f>
        <v/>
      </c>
    </row>
    <row r="38">
      <c r="A38" t="inlineStr">
        <is>
          <t>After 25% illiquidity discount (private)</t>
        </is>
      </c>
      <c r="B38" s="28">
        <f>B33*0.75</f>
        <v/>
      </c>
    </row>
  </sheetData>
  <mergeCells count="5">
    <mergeCell ref="A11:I11"/>
    <mergeCell ref="A28:I28"/>
    <mergeCell ref="A1:I1"/>
    <mergeCell ref="A22:I22"/>
    <mergeCell ref="A4:I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J28"/>
  <sheetViews>
    <sheetView workbookViewId="0">
      <selection activeCell="A1" sqref="A1"/>
    </sheetView>
  </sheetViews>
  <sheetFormatPr baseColWidth="10" defaultColWidth="8.83203125" defaultRowHeight="15"/>
  <cols>
    <col width="50" customWidth="1" style="50" min="1" max="1"/>
    <col width="14" customWidth="1" style="50" min="2" max="10"/>
  </cols>
  <sheetData>
    <row r="1" ht="24" customHeight="1" s="50">
      <c r="A1" s="95" t="inlineStr">
        <is>
          <t>Trading Comps — Public Peer Multiples (Live)</t>
        </is>
      </c>
    </row>
    <row r="2">
      <c r="A2" s="5" t="inlineStr">
        <is>
          <t>Pulled from Yahoo Finance via refresh_live_data.py. Indicative only — no exact match for private specialty F&amp;I.</t>
        </is>
      </c>
    </row>
    <row r="4">
      <c r="A4" s="97" t="inlineStr">
        <is>
          <t>Ticker</t>
        </is>
      </c>
      <c r="B4" s="97" t="inlineStr">
        <is>
          <t>Name</t>
        </is>
      </c>
      <c r="C4" s="97" t="inlineStr">
        <is>
          <t>Sector</t>
        </is>
      </c>
      <c r="D4" s="97" t="inlineStr">
        <is>
          <t>Mkt Cap ($M)</t>
        </is>
      </c>
      <c r="E4" s="97" t="inlineStr">
        <is>
          <t>EV ($M)</t>
        </is>
      </c>
      <c r="F4" s="97" t="inlineStr">
        <is>
          <t>P/E</t>
        </is>
      </c>
      <c r="G4" s="97" t="inlineStr">
        <is>
          <t>P/E Fwd</t>
        </is>
      </c>
      <c r="H4" s="97" t="inlineStr">
        <is>
          <t>P/B</t>
        </is>
      </c>
      <c r="I4" s="97" t="inlineStr">
        <is>
          <t>EV/EBITDA</t>
        </is>
      </c>
      <c r="J4" s="97" t="inlineStr">
        <is>
          <t>EV/Revenue</t>
        </is>
      </c>
    </row>
    <row r="5">
      <c r="A5" s="96">
        <f>'Live Data'!A18</f>
        <v/>
      </c>
      <c r="B5" s="96">
        <f>'Live Data'!B18</f>
        <v/>
      </c>
      <c r="C5" s="96">
        <f>'Live Data'!C18</f>
        <v/>
      </c>
      <c r="D5" s="102">
        <f>'Live Data'!D18</f>
        <v/>
      </c>
      <c r="E5" s="102">
        <f>'Live Data'!E18</f>
        <v/>
      </c>
      <c r="F5" s="111">
        <f>'Live Data'!F18</f>
        <v/>
      </c>
      <c r="G5" s="111">
        <f>'Live Data'!G18</f>
        <v/>
      </c>
      <c r="H5" s="111">
        <f>'Live Data'!H18</f>
        <v/>
      </c>
      <c r="I5" s="111">
        <f>'Live Data'!I18</f>
        <v/>
      </c>
      <c r="J5" s="111">
        <f>'Live Data'!J18</f>
        <v/>
      </c>
    </row>
    <row r="6">
      <c r="A6" s="96">
        <f>'Live Data'!A19</f>
        <v/>
      </c>
      <c r="B6" s="96">
        <f>'Live Data'!B19</f>
        <v/>
      </c>
      <c r="C6" s="96">
        <f>'Live Data'!C19</f>
        <v/>
      </c>
      <c r="D6" s="102">
        <f>'Live Data'!D19</f>
        <v/>
      </c>
      <c r="E6" s="102">
        <f>'Live Data'!E19</f>
        <v/>
      </c>
      <c r="F6" s="111">
        <f>'Live Data'!F19</f>
        <v/>
      </c>
      <c r="G6" s="111">
        <f>'Live Data'!G19</f>
        <v/>
      </c>
      <c r="H6" s="111">
        <f>'Live Data'!H19</f>
        <v/>
      </c>
      <c r="I6" s="111">
        <f>'Live Data'!I19</f>
        <v/>
      </c>
      <c r="J6" s="111">
        <f>'Live Data'!J19</f>
        <v/>
      </c>
    </row>
    <row r="7">
      <c r="A7" s="96">
        <f>'Live Data'!A20</f>
        <v/>
      </c>
      <c r="B7" s="96">
        <f>'Live Data'!B20</f>
        <v/>
      </c>
      <c r="C7" s="96">
        <f>'Live Data'!C20</f>
        <v/>
      </c>
      <c r="D7" s="102">
        <f>'Live Data'!D20</f>
        <v/>
      </c>
      <c r="E7" s="102">
        <f>'Live Data'!E20</f>
        <v/>
      </c>
      <c r="F7" s="111">
        <f>'Live Data'!F20</f>
        <v/>
      </c>
      <c r="G7" s="111">
        <f>'Live Data'!G20</f>
        <v/>
      </c>
      <c r="H7" s="111">
        <f>'Live Data'!H20</f>
        <v/>
      </c>
      <c r="I7" s="111">
        <f>'Live Data'!I20</f>
        <v/>
      </c>
      <c r="J7" s="111">
        <f>'Live Data'!J20</f>
        <v/>
      </c>
    </row>
    <row r="8">
      <c r="A8" s="96">
        <f>'Live Data'!A21</f>
        <v/>
      </c>
      <c r="B8" s="96">
        <f>'Live Data'!B21</f>
        <v/>
      </c>
      <c r="C8" s="96">
        <f>'Live Data'!C21</f>
        <v/>
      </c>
      <c r="D8" s="102">
        <f>'Live Data'!D21</f>
        <v/>
      </c>
      <c r="E8" s="102">
        <f>'Live Data'!E21</f>
        <v/>
      </c>
      <c r="F8" s="111">
        <f>'Live Data'!F21</f>
        <v/>
      </c>
      <c r="G8" s="111">
        <f>'Live Data'!G21</f>
        <v/>
      </c>
      <c r="H8" s="111">
        <f>'Live Data'!H21</f>
        <v/>
      </c>
      <c r="I8" s="111">
        <f>'Live Data'!I21</f>
        <v/>
      </c>
      <c r="J8" s="111">
        <f>'Live Data'!J21</f>
        <v/>
      </c>
    </row>
    <row r="9">
      <c r="A9" s="96">
        <f>'Live Data'!A22</f>
        <v/>
      </c>
      <c r="B9" s="96">
        <f>'Live Data'!B22</f>
        <v/>
      </c>
      <c r="C9" s="96">
        <f>'Live Data'!C22</f>
        <v/>
      </c>
      <c r="D9" s="102">
        <f>'Live Data'!D22</f>
        <v/>
      </c>
      <c r="E9" s="102">
        <f>'Live Data'!E22</f>
        <v/>
      </c>
      <c r="F9" s="111">
        <f>'Live Data'!F22</f>
        <v/>
      </c>
      <c r="G9" s="111">
        <f>'Live Data'!G22</f>
        <v/>
      </c>
      <c r="H9" s="111">
        <f>'Live Data'!H22</f>
        <v/>
      </c>
      <c r="I9" s="111">
        <f>'Live Data'!I22</f>
        <v/>
      </c>
      <c r="J9" s="111">
        <f>'Live Data'!J22</f>
        <v/>
      </c>
    </row>
    <row r="11">
      <c r="A11" s="1" t="inlineStr">
        <is>
          <t>Median</t>
        </is>
      </c>
      <c r="D11" s="11">
        <f>IFERROR(MEDIAN(D5:D9),0)</f>
        <v/>
      </c>
      <c r="E11" s="11">
        <f>IFERROR(MEDIAN(E5:E9),0)</f>
        <v/>
      </c>
      <c r="F11" s="43">
        <f>IFERROR(MEDIAN(F5:F9),0)</f>
        <v/>
      </c>
      <c r="G11" s="43">
        <f>IFERROR(MEDIAN(G5:G9),0)</f>
        <v/>
      </c>
      <c r="H11" s="43">
        <f>IFERROR(MEDIAN(H5:H9),0)</f>
        <v/>
      </c>
      <c r="I11" s="43">
        <f>IFERROR(MEDIAN(I5:I9),0)</f>
        <v/>
      </c>
      <c r="J11" s="43">
        <f>IFERROR(MEDIAN(J5:J9),0)</f>
        <v/>
      </c>
    </row>
    <row r="12">
      <c r="A12" s="1" t="inlineStr">
        <is>
          <t>Mean</t>
        </is>
      </c>
      <c r="D12" s="11">
        <f>IFERROR(AVERAGE(D5:D9),0)</f>
        <v/>
      </c>
      <c r="E12" s="11">
        <f>IFERROR(AVERAGE(E5:E9),0)</f>
        <v/>
      </c>
      <c r="F12" s="43">
        <f>IFERROR(AVERAGE(F5:F9),0)</f>
        <v/>
      </c>
      <c r="G12" s="43">
        <f>IFERROR(AVERAGE(G5:G9),0)</f>
        <v/>
      </c>
      <c r="H12" s="43">
        <f>IFERROR(AVERAGE(H5:H9),0)</f>
        <v/>
      </c>
      <c r="I12" s="43">
        <f>IFERROR(AVERAGE(I5:I9),0)</f>
        <v/>
      </c>
      <c r="J12" s="43">
        <f>IFERROR(AVERAGE(J5:J9),0)</f>
        <v/>
      </c>
    </row>
    <row r="14">
      <c r="A14" s="97" t="inlineStr">
        <is>
          <t>IMPLIED CX VALUATION — Median peer multiples × CX LTM</t>
        </is>
      </c>
    </row>
    <row r="15">
      <c r="A15" t="inlineStr">
        <is>
          <t>Coverage X LTM EBITDA ($)</t>
        </is>
      </c>
      <c r="B15" s="14" t="n">
        <v>34226000</v>
      </c>
    </row>
    <row r="16">
      <c r="A16" t="inlineStr">
        <is>
          <t>Coverage X LTM Net Income ($)</t>
        </is>
      </c>
      <c r="B16" s="14" t="n">
        <v>34273000</v>
      </c>
    </row>
    <row r="17">
      <c r="A17" t="inlineStr">
        <is>
          <t>Coverage X LTM Revenue ($)</t>
        </is>
      </c>
      <c r="B17" s="14" t="n">
        <v>108344000</v>
      </c>
    </row>
    <row r="19">
      <c r="A19" s="1" t="inlineStr">
        <is>
          <t>Implied EV (Median EV/EBITDA × CX EBITDA)</t>
        </is>
      </c>
      <c r="B19" s="28">
        <f>I11*B15</f>
        <v/>
      </c>
    </row>
    <row r="20">
      <c r="A20" s="1" t="inlineStr">
        <is>
          <t>Implied Market Cap (Median P/E × CX NI)</t>
        </is>
      </c>
      <c r="B20" s="28">
        <f>F11*B16</f>
        <v/>
      </c>
    </row>
    <row r="21">
      <c r="A21" s="1" t="inlineStr">
        <is>
          <t>Implied EV (Median EV/Rev × CX Rev)</t>
        </is>
      </c>
      <c r="B21" s="28">
        <f>J11*B17</f>
        <v/>
      </c>
    </row>
    <row r="23">
      <c r="A23" s="1" t="inlineStr">
        <is>
          <t>CAVEATS</t>
        </is>
      </c>
    </row>
    <row r="24">
      <c r="A24" s="5" t="inlineStr">
        <is>
          <t>• AIZ (Assurant) is the closest peer — Global Auto + Global Lifestyle segments.</t>
        </is>
      </c>
    </row>
    <row r="25">
      <c r="A25" s="5" t="inlineStr">
        <is>
          <t>• KMX is auto retail, not warranty; large multiples reflect different business model.</t>
        </is>
      </c>
    </row>
    <row r="26">
      <c r="A26" s="5" t="inlineStr">
        <is>
          <t>• ALLY, COF, CACC are financial services (mortgage/auto/specialty lending) — not direct peers.</t>
        </is>
      </c>
    </row>
    <row r="27">
      <c r="A27" s="5" t="inlineStr">
        <is>
          <t>• CX LTM NI = $34M reflects 0% LLC pass-through tax — P/E comparison overstates if buyer taxes apply.</t>
        </is>
      </c>
    </row>
    <row r="28">
      <c r="A28" s="5" t="inlineStr">
        <is>
          <t>• 25% illiquidity discount typically applied to private-company implied values.</t>
        </is>
      </c>
    </row>
  </sheetData>
  <mergeCells count="2">
    <mergeCell ref="A1:I1"/>
    <mergeCell ref="A14:I1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/>
  </sheetPr>
  <dimension ref="A1:I23"/>
  <sheetViews>
    <sheetView workbookViewId="0">
      <selection activeCell="A1" sqref="A1"/>
    </sheetView>
  </sheetViews>
  <sheetFormatPr baseColWidth="10" defaultColWidth="8.83203125" defaultRowHeight="15"/>
  <cols>
    <col width="22" customWidth="1" style="50" min="1" max="1"/>
    <col width="12" customWidth="1" style="50" min="2" max="7"/>
  </cols>
  <sheetData>
    <row r="1" ht="24" customHeight="1" s="50">
      <c r="A1" s="95" t="inlineStr">
        <is>
          <t>Sensitivity — Equity Value Across WACC × Exit Multiple</t>
        </is>
      </c>
    </row>
    <row r="2">
      <c r="A2" s="5" t="inlineStr">
        <is>
          <t>Each cell = DCF equity value for given WACC + Exit Multiple combination.</t>
        </is>
      </c>
    </row>
    <row r="4">
      <c r="A4" s="97" t="inlineStr">
        <is>
          <t>EQUITY VALUE ($M) — WACC × Exit Multiple</t>
        </is>
      </c>
    </row>
    <row r="5">
      <c r="A5" s="1" t="inlineStr">
        <is>
          <t>WACC ↓ / Exit →</t>
        </is>
      </c>
      <c r="B5" s="43" t="n">
        <v>6</v>
      </c>
      <c r="C5" s="43" t="n">
        <v>7</v>
      </c>
      <c r="D5" s="43" t="n">
        <v>8</v>
      </c>
      <c r="E5" s="43" t="n">
        <v>9</v>
      </c>
      <c r="F5" s="43" t="n">
        <v>10</v>
      </c>
      <c r="G5" s="43" t="n">
        <v>12</v>
      </c>
    </row>
    <row r="6">
      <c r="A6" s="44" t="n">
        <v>0.1</v>
      </c>
      <c r="B6" s="45">
        <f>(('Financial Summary'!D29*0.74)/(1+0.1)^0.5+('Financial Summary'!E29*0.74)/(1+0.1)^1.5+('Financial Summary'!F29*0.74)/(1+0.1)^2.5+('Financial Summary'!G29*0.74)/(1+0.1)^3.5+('Financial Summary'!H29*0.74)/(1+0.1)^4.5+('Financial Summary'!H29*6)/(1+0.1)^5+1100000)/1000000</f>
        <v/>
      </c>
      <c r="C6" s="45">
        <f>(('Financial Summary'!D29*0.74)/(1+0.1)^0.5+('Financial Summary'!E29*0.74)/(1+0.1)^1.5+('Financial Summary'!F29*0.74)/(1+0.1)^2.5+('Financial Summary'!G29*0.74)/(1+0.1)^3.5+('Financial Summary'!H29*0.74)/(1+0.1)^4.5+('Financial Summary'!H29*7)/(1+0.1)^5+1100000)/1000000</f>
        <v/>
      </c>
      <c r="D6" s="45">
        <f>(('Financial Summary'!D29*0.74)/(1+0.1)^0.5+('Financial Summary'!E29*0.74)/(1+0.1)^1.5+('Financial Summary'!F29*0.74)/(1+0.1)^2.5+('Financial Summary'!G29*0.74)/(1+0.1)^3.5+('Financial Summary'!H29*0.74)/(1+0.1)^4.5+('Financial Summary'!H29*8)/(1+0.1)^5+1100000)/1000000</f>
        <v/>
      </c>
      <c r="E6" s="45">
        <f>(('Financial Summary'!D29*0.74)/(1+0.1)^0.5+('Financial Summary'!E29*0.74)/(1+0.1)^1.5+('Financial Summary'!F29*0.74)/(1+0.1)^2.5+('Financial Summary'!G29*0.74)/(1+0.1)^3.5+('Financial Summary'!H29*0.74)/(1+0.1)^4.5+('Financial Summary'!H29*9)/(1+0.1)^5+1100000)/1000000</f>
        <v/>
      </c>
      <c r="F6" s="45">
        <f>(('Financial Summary'!D29*0.74)/(1+0.1)^0.5+('Financial Summary'!E29*0.74)/(1+0.1)^1.5+('Financial Summary'!F29*0.74)/(1+0.1)^2.5+('Financial Summary'!G29*0.74)/(1+0.1)^3.5+('Financial Summary'!H29*0.74)/(1+0.1)^4.5+('Financial Summary'!H29*10)/(1+0.1)^5+1100000)/1000000</f>
        <v/>
      </c>
      <c r="G6" s="45">
        <f>(('Financial Summary'!D29*0.74)/(1+0.1)^0.5+('Financial Summary'!E29*0.74)/(1+0.1)^1.5+('Financial Summary'!F29*0.74)/(1+0.1)^2.5+('Financial Summary'!G29*0.74)/(1+0.1)^3.5+('Financial Summary'!H29*0.74)/(1+0.1)^4.5+('Financial Summary'!H29*12)/(1+0.1)^5+1100000)/1000000</f>
        <v/>
      </c>
    </row>
    <row r="7">
      <c r="A7" s="44" t="n">
        <v>0.11</v>
      </c>
      <c r="B7" s="45">
        <f>(('Financial Summary'!D29*0.74)/(1+0.11)^0.5+('Financial Summary'!E29*0.74)/(1+0.11)^1.5+('Financial Summary'!F29*0.74)/(1+0.11)^2.5+('Financial Summary'!G29*0.74)/(1+0.11)^3.5+('Financial Summary'!H29*0.74)/(1+0.11)^4.5+('Financial Summary'!H29*6)/(1+0.11)^5+1100000)/1000000</f>
        <v/>
      </c>
      <c r="C7" s="45">
        <f>(('Financial Summary'!D29*0.74)/(1+0.11)^0.5+('Financial Summary'!E29*0.74)/(1+0.11)^1.5+('Financial Summary'!F29*0.74)/(1+0.11)^2.5+('Financial Summary'!G29*0.74)/(1+0.11)^3.5+('Financial Summary'!H29*0.74)/(1+0.11)^4.5+('Financial Summary'!H29*7)/(1+0.11)^5+1100000)/1000000</f>
        <v/>
      </c>
      <c r="D7" s="45">
        <f>(('Financial Summary'!D29*0.74)/(1+0.11)^0.5+('Financial Summary'!E29*0.74)/(1+0.11)^1.5+('Financial Summary'!F29*0.74)/(1+0.11)^2.5+('Financial Summary'!G29*0.74)/(1+0.11)^3.5+('Financial Summary'!H29*0.74)/(1+0.11)^4.5+('Financial Summary'!H29*8)/(1+0.11)^5+1100000)/1000000</f>
        <v/>
      </c>
      <c r="E7" s="45">
        <f>(('Financial Summary'!D29*0.74)/(1+0.11)^0.5+('Financial Summary'!E29*0.74)/(1+0.11)^1.5+('Financial Summary'!F29*0.74)/(1+0.11)^2.5+('Financial Summary'!G29*0.74)/(1+0.11)^3.5+('Financial Summary'!H29*0.74)/(1+0.11)^4.5+('Financial Summary'!H29*9)/(1+0.11)^5+1100000)/1000000</f>
        <v/>
      </c>
      <c r="F7" s="45">
        <f>(('Financial Summary'!D29*0.74)/(1+0.11)^0.5+('Financial Summary'!E29*0.74)/(1+0.11)^1.5+('Financial Summary'!F29*0.74)/(1+0.11)^2.5+('Financial Summary'!G29*0.74)/(1+0.11)^3.5+('Financial Summary'!H29*0.74)/(1+0.11)^4.5+('Financial Summary'!H29*10)/(1+0.11)^5+1100000)/1000000</f>
        <v/>
      </c>
      <c r="G7" s="45">
        <f>(('Financial Summary'!D29*0.74)/(1+0.11)^0.5+('Financial Summary'!E29*0.74)/(1+0.11)^1.5+('Financial Summary'!F29*0.74)/(1+0.11)^2.5+('Financial Summary'!G29*0.74)/(1+0.11)^3.5+('Financial Summary'!H29*0.74)/(1+0.11)^4.5+('Financial Summary'!H29*12)/(1+0.11)^5+1100000)/1000000</f>
        <v/>
      </c>
    </row>
    <row r="8">
      <c r="A8" s="44" t="n">
        <v>0.12</v>
      </c>
      <c r="B8" s="45">
        <f>(('Financial Summary'!D29*0.74)/(1+0.12)^0.5+('Financial Summary'!E29*0.74)/(1+0.12)^1.5+('Financial Summary'!F29*0.74)/(1+0.12)^2.5+('Financial Summary'!G29*0.74)/(1+0.12)^3.5+('Financial Summary'!H29*0.74)/(1+0.12)^4.5+('Financial Summary'!H29*6)/(1+0.12)^5+1100000)/1000000</f>
        <v/>
      </c>
      <c r="C8" s="45">
        <f>(('Financial Summary'!D29*0.74)/(1+0.12)^0.5+('Financial Summary'!E29*0.74)/(1+0.12)^1.5+('Financial Summary'!F29*0.74)/(1+0.12)^2.5+('Financial Summary'!G29*0.74)/(1+0.12)^3.5+('Financial Summary'!H29*0.74)/(1+0.12)^4.5+('Financial Summary'!H29*7)/(1+0.12)^5+1100000)/1000000</f>
        <v/>
      </c>
      <c r="D8" s="45">
        <f>(('Financial Summary'!D29*0.74)/(1+0.12)^0.5+('Financial Summary'!E29*0.74)/(1+0.12)^1.5+('Financial Summary'!F29*0.74)/(1+0.12)^2.5+('Financial Summary'!G29*0.74)/(1+0.12)^3.5+('Financial Summary'!H29*0.74)/(1+0.12)^4.5+('Financial Summary'!H29*8)/(1+0.12)^5+1100000)/1000000</f>
        <v/>
      </c>
      <c r="E8" s="45">
        <f>(('Financial Summary'!D29*0.74)/(1+0.12)^0.5+('Financial Summary'!E29*0.74)/(1+0.12)^1.5+('Financial Summary'!F29*0.74)/(1+0.12)^2.5+('Financial Summary'!G29*0.74)/(1+0.12)^3.5+('Financial Summary'!H29*0.74)/(1+0.12)^4.5+('Financial Summary'!H29*9)/(1+0.12)^5+1100000)/1000000</f>
        <v/>
      </c>
      <c r="F8" s="45">
        <f>(('Financial Summary'!D29*0.74)/(1+0.12)^0.5+('Financial Summary'!E29*0.74)/(1+0.12)^1.5+('Financial Summary'!F29*0.74)/(1+0.12)^2.5+('Financial Summary'!G29*0.74)/(1+0.12)^3.5+('Financial Summary'!H29*0.74)/(1+0.12)^4.5+('Financial Summary'!H29*10)/(1+0.12)^5+1100000)/1000000</f>
        <v/>
      </c>
      <c r="G8" s="45">
        <f>(('Financial Summary'!D29*0.74)/(1+0.12)^0.5+('Financial Summary'!E29*0.74)/(1+0.12)^1.5+('Financial Summary'!F29*0.74)/(1+0.12)^2.5+('Financial Summary'!G29*0.74)/(1+0.12)^3.5+('Financial Summary'!H29*0.74)/(1+0.12)^4.5+('Financial Summary'!H29*12)/(1+0.12)^5+1100000)/1000000</f>
        <v/>
      </c>
    </row>
    <row r="9">
      <c r="A9" s="44" t="n">
        <v>0.13</v>
      </c>
      <c r="B9" s="45">
        <f>(('Financial Summary'!D29*0.74)/(1+0.13)^0.5+('Financial Summary'!E29*0.74)/(1+0.13)^1.5+('Financial Summary'!F29*0.74)/(1+0.13)^2.5+('Financial Summary'!G29*0.74)/(1+0.13)^3.5+('Financial Summary'!H29*0.74)/(1+0.13)^4.5+('Financial Summary'!H29*6)/(1+0.13)^5+1100000)/1000000</f>
        <v/>
      </c>
      <c r="C9" s="45">
        <f>(('Financial Summary'!D29*0.74)/(1+0.13)^0.5+('Financial Summary'!E29*0.74)/(1+0.13)^1.5+('Financial Summary'!F29*0.74)/(1+0.13)^2.5+('Financial Summary'!G29*0.74)/(1+0.13)^3.5+('Financial Summary'!H29*0.74)/(1+0.13)^4.5+('Financial Summary'!H29*7)/(1+0.13)^5+1100000)/1000000</f>
        <v/>
      </c>
      <c r="D9" s="45">
        <f>(('Financial Summary'!D29*0.74)/(1+0.13)^0.5+('Financial Summary'!E29*0.74)/(1+0.13)^1.5+('Financial Summary'!F29*0.74)/(1+0.13)^2.5+('Financial Summary'!G29*0.74)/(1+0.13)^3.5+('Financial Summary'!H29*0.74)/(1+0.13)^4.5+('Financial Summary'!H29*8)/(1+0.13)^5+1100000)/1000000</f>
        <v/>
      </c>
      <c r="E9" s="45">
        <f>(('Financial Summary'!D29*0.74)/(1+0.13)^0.5+('Financial Summary'!E29*0.74)/(1+0.13)^1.5+('Financial Summary'!F29*0.74)/(1+0.13)^2.5+('Financial Summary'!G29*0.74)/(1+0.13)^3.5+('Financial Summary'!H29*0.74)/(1+0.13)^4.5+('Financial Summary'!H29*9)/(1+0.13)^5+1100000)/1000000</f>
        <v/>
      </c>
      <c r="F9" s="45">
        <f>(('Financial Summary'!D29*0.74)/(1+0.13)^0.5+('Financial Summary'!E29*0.74)/(1+0.13)^1.5+('Financial Summary'!F29*0.74)/(1+0.13)^2.5+('Financial Summary'!G29*0.74)/(1+0.13)^3.5+('Financial Summary'!H29*0.74)/(1+0.13)^4.5+('Financial Summary'!H29*10)/(1+0.13)^5+1100000)/1000000</f>
        <v/>
      </c>
      <c r="G9" s="45">
        <f>(('Financial Summary'!D29*0.74)/(1+0.13)^0.5+('Financial Summary'!E29*0.74)/(1+0.13)^1.5+('Financial Summary'!F29*0.74)/(1+0.13)^2.5+('Financial Summary'!G29*0.74)/(1+0.13)^3.5+('Financial Summary'!H29*0.74)/(1+0.13)^4.5+('Financial Summary'!H29*12)/(1+0.13)^5+1100000)/1000000</f>
        <v/>
      </c>
    </row>
    <row r="10">
      <c r="A10" s="44" t="n">
        <v>0.14</v>
      </c>
      <c r="B10" s="45">
        <f>(('Financial Summary'!D29*0.74)/(1+0.14)^0.5+('Financial Summary'!E29*0.74)/(1+0.14)^1.5+('Financial Summary'!F29*0.74)/(1+0.14)^2.5+('Financial Summary'!G29*0.74)/(1+0.14)^3.5+('Financial Summary'!H29*0.74)/(1+0.14)^4.5+('Financial Summary'!H29*6)/(1+0.14)^5+1100000)/1000000</f>
        <v/>
      </c>
      <c r="C10" s="45">
        <f>(('Financial Summary'!D29*0.74)/(1+0.14)^0.5+('Financial Summary'!E29*0.74)/(1+0.14)^1.5+('Financial Summary'!F29*0.74)/(1+0.14)^2.5+('Financial Summary'!G29*0.74)/(1+0.14)^3.5+('Financial Summary'!H29*0.74)/(1+0.14)^4.5+('Financial Summary'!H29*7)/(1+0.14)^5+1100000)/1000000</f>
        <v/>
      </c>
      <c r="D10" s="45">
        <f>(('Financial Summary'!D29*0.74)/(1+0.14)^0.5+('Financial Summary'!E29*0.74)/(1+0.14)^1.5+('Financial Summary'!F29*0.74)/(1+0.14)^2.5+('Financial Summary'!G29*0.74)/(1+0.14)^3.5+('Financial Summary'!H29*0.74)/(1+0.14)^4.5+('Financial Summary'!H29*8)/(1+0.14)^5+1100000)/1000000</f>
        <v/>
      </c>
      <c r="E10" s="45">
        <f>(('Financial Summary'!D29*0.74)/(1+0.14)^0.5+('Financial Summary'!E29*0.74)/(1+0.14)^1.5+('Financial Summary'!F29*0.74)/(1+0.14)^2.5+('Financial Summary'!G29*0.74)/(1+0.14)^3.5+('Financial Summary'!H29*0.74)/(1+0.14)^4.5+('Financial Summary'!H29*9)/(1+0.14)^5+1100000)/1000000</f>
        <v/>
      </c>
      <c r="F10" s="45">
        <f>(('Financial Summary'!D29*0.74)/(1+0.14)^0.5+('Financial Summary'!E29*0.74)/(1+0.14)^1.5+('Financial Summary'!F29*0.74)/(1+0.14)^2.5+('Financial Summary'!G29*0.74)/(1+0.14)^3.5+('Financial Summary'!H29*0.74)/(1+0.14)^4.5+('Financial Summary'!H29*10)/(1+0.14)^5+1100000)/1000000</f>
        <v/>
      </c>
      <c r="G10" s="45">
        <f>(('Financial Summary'!D29*0.74)/(1+0.14)^0.5+('Financial Summary'!E29*0.74)/(1+0.14)^1.5+('Financial Summary'!F29*0.74)/(1+0.14)^2.5+('Financial Summary'!G29*0.74)/(1+0.14)^3.5+('Financial Summary'!H29*0.74)/(1+0.14)^4.5+('Financial Summary'!H29*12)/(1+0.14)^5+1100000)/1000000</f>
        <v/>
      </c>
    </row>
    <row r="13">
      <c r="A13" s="97" t="inlineStr">
        <is>
          <t>EQUITY VALUE AFTER 25% ILLIQUIDITY DISCOUNT ($M)</t>
        </is>
      </c>
    </row>
    <row r="14">
      <c r="A14" s="1" t="inlineStr">
        <is>
          <t>WACC ↓ / Exit →</t>
        </is>
      </c>
      <c r="B14" s="43" t="n">
        <v>6</v>
      </c>
      <c r="C14" s="43" t="n">
        <v>7</v>
      </c>
      <c r="D14" s="43" t="n">
        <v>8</v>
      </c>
      <c r="E14" s="43" t="n">
        <v>9</v>
      </c>
      <c r="F14" s="43" t="n">
        <v>10</v>
      </c>
      <c r="G14" s="43" t="n">
        <v>12</v>
      </c>
    </row>
    <row r="15">
      <c r="A15" s="44" t="n">
        <v>0.1</v>
      </c>
      <c r="B15" s="45">
        <f>B6*0.75</f>
        <v/>
      </c>
      <c r="C15" s="45">
        <f>C6*0.75</f>
        <v/>
      </c>
      <c r="D15" s="45">
        <f>D6*0.75</f>
        <v/>
      </c>
      <c r="E15" s="45">
        <f>E6*0.75</f>
        <v/>
      </c>
      <c r="F15" s="45">
        <f>F6*0.75</f>
        <v/>
      </c>
      <c r="G15" s="45">
        <f>G6*0.75</f>
        <v/>
      </c>
    </row>
    <row r="16">
      <c r="A16" s="44" t="n">
        <v>0.11</v>
      </c>
      <c r="B16" s="45">
        <f>B7*0.75</f>
        <v/>
      </c>
      <c r="C16" s="45">
        <f>C7*0.75</f>
        <v/>
      </c>
      <c r="D16" s="45">
        <f>D7*0.75</f>
        <v/>
      </c>
      <c r="E16" s="45">
        <f>E7*0.75</f>
        <v/>
      </c>
      <c r="F16" s="45">
        <f>F7*0.75</f>
        <v/>
      </c>
      <c r="G16" s="45">
        <f>G7*0.75</f>
        <v/>
      </c>
    </row>
    <row r="17">
      <c r="A17" s="44" t="n">
        <v>0.12</v>
      </c>
      <c r="B17" s="45">
        <f>B8*0.75</f>
        <v/>
      </c>
      <c r="C17" s="45">
        <f>C8*0.75</f>
        <v/>
      </c>
      <c r="D17" s="45">
        <f>D8*0.75</f>
        <v/>
      </c>
      <c r="E17" s="45">
        <f>E8*0.75</f>
        <v/>
      </c>
      <c r="F17" s="45">
        <f>F8*0.75</f>
        <v/>
      </c>
      <c r="G17" s="45">
        <f>G8*0.75</f>
        <v/>
      </c>
    </row>
    <row r="18">
      <c r="A18" s="44" t="n">
        <v>0.13</v>
      </c>
      <c r="B18" s="45">
        <f>B9*0.75</f>
        <v/>
      </c>
      <c r="C18" s="45">
        <f>C9*0.75</f>
        <v/>
      </c>
      <c r="D18" s="45">
        <f>D9*0.75</f>
        <v/>
      </c>
      <c r="E18" s="45">
        <f>E9*0.75</f>
        <v/>
      </c>
      <c r="F18" s="45">
        <f>F9*0.75</f>
        <v/>
      </c>
      <c r="G18" s="45">
        <f>G9*0.75</f>
        <v/>
      </c>
    </row>
    <row r="19">
      <c r="A19" s="44" t="n">
        <v>0.14</v>
      </c>
      <c r="B19" s="45">
        <f>B10*0.75</f>
        <v/>
      </c>
      <c r="C19" s="45">
        <f>C10*0.75</f>
        <v/>
      </c>
      <c r="D19" s="45">
        <f>D10*0.75</f>
        <v/>
      </c>
      <c r="E19" s="45">
        <f>E10*0.75</f>
        <v/>
      </c>
      <c r="F19" s="45">
        <f>F10*0.75</f>
        <v/>
      </c>
      <c r="G19" s="45">
        <f>G10*0.75</f>
        <v/>
      </c>
    </row>
    <row r="22">
      <c r="A22" s="5" t="inlineStr">
        <is>
          <t>Base case: WACC 12% × Exit 8.0x → see cell C8</t>
        </is>
      </c>
    </row>
    <row r="23">
      <c r="A23" s="5" t="inlineStr">
        <is>
          <t>Tax-adjusted FCF approximation = 74% of EBITDA (21% tax + 5% WC + capex).</t>
        </is>
      </c>
    </row>
  </sheetData>
  <mergeCells count="3">
    <mergeCell ref="A1:I1"/>
    <mergeCell ref="A4:I4"/>
    <mergeCell ref="A13:I1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F64"/>
  <sheetViews>
    <sheetView workbookViewId="0">
      <selection activeCell="A1" sqref="A1"/>
    </sheetView>
  </sheetViews>
  <sheetFormatPr baseColWidth="10" defaultColWidth="8.83203125" defaultRowHeight="15"/>
  <cols>
    <col width="48" customWidth="1" style="50" min="1" max="1"/>
    <col width="80" customWidth="1" style="50" min="2" max="2"/>
    <col width="16" customWidth="1" style="50" min="3" max="3"/>
    <col width="14" customWidth="1" style="50" min="4" max="4"/>
    <col width="12" customWidth="1" style="50" min="5" max="6"/>
  </cols>
  <sheetData>
    <row r="1" ht="24" customHeight="1" s="50">
      <c r="A1" s="95" t="inlineStr">
        <is>
          <t>Audit Log — Build History + Tie-out Checks</t>
        </is>
      </c>
    </row>
    <row r="2">
      <c r="A2" s="5" t="inlineStr">
        <is>
          <t>Every build run appends a row. Refresh script appends to "Last Refresh" column.</t>
        </is>
      </c>
    </row>
    <row r="4">
      <c r="A4" s="97" t="inlineStr">
        <is>
          <t>BUILD HISTORY</t>
        </is>
      </c>
    </row>
    <row r="5">
      <c r="A5" s="97" t="inlineStr">
        <is>
          <t>Timestamp (UTC)</t>
        </is>
      </c>
      <c r="B5" s="97" t="inlineStr">
        <is>
          <t>Phase</t>
        </is>
      </c>
      <c r="C5" s="97" t="inlineStr">
        <is>
          <t>Sheets added/modified</t>
        </is>
      </c>
      <c r="D5" s="97" t="inlineStr">
        <is>
          <t>Notes</t>
        </is>
      </c>
      <c r="E5" s="97" t="inlineStr">
        <is>
          <t>Run by</t>
        </is>
      </c>
      <c r="F5" s="97" t="inlineStr">
        <is>
          <t>Build hash</t>
        </is>
      </c>
    </row>
    <row r="6">
      <c r="A6" s="3" t="inlineStr">
        <is>
          <t>2026-05-20T03:32:31.626379+00:00</t>
        </is>
      </c>
      <c r="B6" s="4" t="inlineStr">
        <is>
          <t>Phase 1</t>
        </is>
      </c>
      <c r="C6" s="4" t="inlineStr">
        <is>
          <t>Cover, Live Data, Assumptions, Sources</t>
        </is>
      </c>
      <c r="D6" s="4" t="inlineStr">
        <is>
          <t>Initial scaffold. FRED + Yahoo pulled live; V50 driver structure mirrored.</t>
        </is>
      </c>
      <c r="E6" s="4" t="inlineStr">
        <is>
          <t>Claude Code</t>
        </is>
      </c>
      <c r="F6" s="4" t="inlineStr">
        <is>
          <t>v51.1</t>
        </is>
      </c>
    </row>
    <row r="7">
      <c r="A7" s="3" t="inlineStr">
        <is>
          <t>2026-05-20T03:32:31.626379+00:00</t>
        </is>
      </c>
      <c r="B7" s="4" t="inlineStr">
        <is>
          <t>Phase 2</t>
        </is>
      </c>
      <c r="C7" s="4" t="inlineStr">
        <is>
          <t>Cancel Curves, CX/ASD/Home/Producer Sales, Mepco Outstanding, Marketing Budget</t>
        </is>
      </c>
      <c r="D7" s="4" t="inlineStr">
        <is>
          <t>Vintage cohort engines with shared cancel curve. SUMPRODUCT/INDEX for survival aging.</t>
        </is>
      </c>
      <c r="E7" s="4" t="inlineStr">
        <is>
          <t>Claude Code</t>
        </is>
      </c>
      <c r="F7" s="4" t="inlineStr">
        <is>
          <t>v51.2</t>
        </is>
      </c>
    </row>
    <row r="8">
      <c r="A8" s="3" t="inlineStr">
        <is>
          <t>2026-05-20T03:32:31.626379+00:00</t>
        </is>
      </c>
      <c r="B8" s="4" t="inlineStr">
        <is>
          <t>Phase 3</t>
        </is>
      </c>
      <c r="C8" s="4" t="inlineStr">
        <is>
          <t>Ops Staffing, SG&amp;A, Debt, Financial Detail, EBITDA Bridge, Financial Summary</t>
        </is>
      </c>
      <c r="D8" s="4" t="inlineStr">
        <is>
          <t>HC scales per 1K active contracts. SG&amp;A line items mirror V50. CNB LOC interest-only.</t>
        </is>
      </c>
      <c r="E8" s="4" t="inlineStr">
        <is>
          <t>Claude Code</t>
        </is>
      </c>
      <c r="F8" s="4" t="inlineStr">
        <is>
          <t>v51.3</t>
        </is>
      </c>
    </row>
    <row r="9">
      <c r="A9" s="3" t="inlineStr">
        <is>
          <t>2026-05-20T03:32:31.626379+00:00</t>
        </is>
      </c>
      <c r="B9" s="4" t="inlineStr">
        <is>
          <t>Phase 4</t>
        </is>
      </c>
      <c r="C9" s="4" t="inlineStr">
        <is>
          <t>Covenants, DCF, Trading Comps, Sensitivity</t>
        </is>
      </c>
      <c r="D9" s="4" t="inlineStr">
        <is>
          <t>CNB FCCR + CR reproduced from worksheet. DCF on 2026-2030E. WACC × Exit grid.</t>
        </is>
      </c>
      <c r="E9" s="4" t="inlineStr">
        <is>
          <t>Claude Code</t>
        </is>
      </c>
      <c r="F9" s="4" t="inlineStr">
        <is>
          <t>v51.4</t>
        </is>
      </c>
    </row>
    <row r="10">
      <c r="A10" s="3" t="inlineStr">
        <is>
          <t>2026-05-20T03:32:31.626379+00:00</t>
        </is>
      </c>
      <c r="B10" s="4" t="inlineStr">
        <is>
          <t>Phase 5</t>
        </is>
      </c>
      <c r="C10" s="4" t="inlineStr">
        <is>
          <t>Audit Log</t>
        </is>
      </c>
      <c r="D10" s="4" t="inlineStr">
        <is>
          <t>This sheet. Build pipeline complete.</t>
        </is>
      </c>
      <c r="E10" s="4" t="inlineStr">
        <is>
          <t>Claude Code</t>
        </is>
      </c>
      <c r="F10" s="4" t="inlineStr">
        <is>
          <t>v51.5</t>
        </is>
      </c>
    </row>
    <row r="13">
      <c r="A13" s="97" t="inlineStr">
        <is>
          <t>TIE-OUT CHECKS (live formulas — compare to actuals)</t>
        </is>
      </c>
    </row>
    <row r="14">
      <c r="A14" s="97" t="inlineStr">
        <is>
          <t>Check</t>
        </is>
      </c>
      <c r="B14" s="97" t="inlineStr">
        <is>
          <t>Expected (actual)</t>
        </is>
      </c>
      <c r="C14" s="97" t="inlineStr">
        <is>
          <t>Computed (model)</t>
        </is>
      </c>
      <c r="D14" s="97" t="inlineStr">
        <is>
          <t>Diff</t>
        </is>
      </c>
      <c r="E14" s="97" t="inlineStr">
        <is>
          <t>% diff</t>
        </is>
      </c>
      <c r="F14" s="97" t="inlineStr">
        <is>
          <t>Status</t>
        </is>
      </c>
    </row>
    <row r="15">
      <c r="A15" s="5" t="inlineStr">
        <is>
          <t>2025 Revenue (vs V50 = $115.96M, LTM Q3 = $108.34M)</t>
        </is>
      </c>
      <c r="B15" s="14" t="n">
        <v>108344432</v>
      </c>
      <c r="C15" s="103">
        <f>'Financial Summary'!C11</f>
        <v/>
      </c>
      <c r="D15" s="17">
        <f>C15-B15</f>
        <v/>
      </c>
      <c r="E15" s="34">
        <f>IFERROR(D15/B15,0)</f>
        <v/>
      </c>
      <c r="F15" s="1">
        <f>IF(ABS(E15)&lt;0.05,"PASS",IF(ABS(E15)&lt;0.15,"REVIEW","FAIL"))</f>
        <v/>
      </c>
    </row>
    <row r="16">
      <c r="A16" s="5" t="inlineStr">
        <is>
          <t>2025 Operating Income (vs LTM = $34.23M)</t>
        </is>
      </c>
      <c r="B16" s="14" t="n">
        <v>34226000</v>
      </c>
      <c r="C16" s="103">
        <f>'Financial Summary'!C29</f>
        <v/>
      </c>
      <c r="D16" s="17">
        <f>C16-B16</f>
        <v/>
      </c>
      <c r="E16" s="34">
        <f>IFERROR(D16/B16,0)</f>
        <v/>
      </c>
      <c r="F16" s="1">
        <f>IF(ABS(E16)&lt;0.05,"PASS",IF(ABS(E16)&lt;0.15,"REVIEW","FAIL"))</f>
        <v/>
      </c>
    </row>
    <row r="17">
      <c r="A17" s="5" t="inlineStr">
        <is>
          <t>2025 Net Income (vs LTM = $34.27M)</t>
        </is>
      </c>
      <c r="B17" s="14" t="n">
        <v>34273000</v>
      </c>
      <c r="C17" s="103">
        <f>'Financial Summary'!C34</f>
        <v/>
      </c>
      <c r="D17" s="17">
        <f>C17-B17</f>
        <v/>
      </c>
      <c r="E17" s="34">
        <f>IFERROR(D17/B17,0)</f>
        <v/>
      </c>
      <c r="F17" s="1">
        <f>IF(ABS(E17)&lt;0.05,"PASS",IF(ABS(E17)&lt;0.15,"REVIEW","FAIL"))</f>
        <v/>
      </c>
    </row>
    <row r="18">
      <c r="A18" s="5" t="inlineStr">
        <is>
          <t>Mepco Reserve Sep-25 (vs Q3 actual = $105.16M)</t>
        </is>
      </c>
      <c r="B18" s="14" t="n">
        <v>105161359</v>
      </c>
      <c r="C18" s="103">
        <f>'Mepco Outstanding'!L10</f>
        <v/>
      </c>
      <c r="D18" s="17">
        <f>C18-B18</f>
        <v/>
      </c>
      <c r="E18" s="34">
        <f>IFERROR(D18/B18,0)</f>
        <v/>
      </c>
      <c r="F18" s="1">
        <f>IF(ABS(E18)&lt;0.05,"PASS",IF(ABS(E18)&lt;0.15,"REVIEW","FAIL"))</f>
        <v/>
      </c>
    </row>
    <row r="19">
      <c r="A19" s="5" t="inlineStr">
        <is>
          <t>FCCR 12/31/25 (vs CNB worksheet = 2.51x)</t>
        </is>
      </c>
      <c r="B19" s="36" t="n">
        <v>2.5119</v>
      </c>
      <c r="C19" s="112">
        <f>Covenants!B26</f>
        <v/>
      </c>
      <c r="D19" s="47">
        <f>C19-B19</f>
        <v/>
      </c>
      <c r="E19" s="34">
        <f>IFERROR(D19/B19,0)</f>
        <v/>
      </c>
      <c r="F19" s="1">
        <f>IF(ABS(E19)&lt;0.05,"PASS",IF(ABS(E19)&lt;0.15,"REVIEW","FAIL"))</f>
        <v/>
      </c>
    </row>
    <row r="20">
      <c r="A20" s="5" t="inlineStr">
        <is>
          <t>Current Ratio 12/31/25 (vs CNB worksheet = 1.21x)</t>
        </is>
      </c>
      <c r="B20" s="36" t="n">
        <v>1.2144</v>
      </c>
      <c r="C20" s="112">
        <f>Covenants!B40</f>
        <v/>
      </c>
      <c r="D20" s="47">
        <f>C20-B20</f>
        <v/>
      </c>
      <c r="E20" s="34">
        <f>IFERROR(D20/B20,0)</f>
        <v/>
      </c>
      <c r="F20" s="1">
        <f>IF(ABS(E20)&lt;0.05,"PASS",IF(ABS(E20)&lt;0.15,"REVIEW","FAIL"))</f>
        <v/>
      </c>
    </row>
    <row r="25">
      <c r="A25" s="97" t="inlineStr">
        <is>
          <t>LIVE DATA REFRESH LOG</t>
        </is>
      </c>
    </row>
    <row r="26">
      <c r="A26" t="inlineStr">
        <is>
          <t>Last refresh (FRED + Yahoo)</t>
        </is>
      </c>
      <c r="B26" s="3" t="inlineStr">
        <is>
          <t>2026-05-20T03:32:31.626379+00:00</t>
        </is>
      </c>
    </row>
    <row r="27">
      <c r="A27" t="inlineStr">
        <is>
          <t>Refresh frequency</t>
        </is>
      </c>
      <c r="B27" t="inlineStr">
        <is>
          <t>On-demand via scripts/refresh_live_data.py</t>
        </is>
      </c>
    </row>
    <row r="29">
      <c r="A29" s="1" t="inlineStr">
        <is>
          <t>NOTES</t>
        </is>
      </c>
    </row>
    <row r="30">
      <c r="A30" t="inlineStr">
        <is>
          <t>V50 base sales schedule kept verbatim Jan-25 through Dec-30 (channel split not available from Q3 actuals).</t>
        </is>
      </c>
    </row>
    <row r="31">
      <c r="A31" t="inlineStr">
        <is>
          <t>CX VSC 2025 contracts = 25,375 in V50 (vs Q3-actual CX Auto Jan-Sep ≈ 23,200 implied — within ~10%).</t>
        </is>
      </c>
    </row>
    <row r="32">
      <c r="A32" t="inlineStr">
        <is>
          <t>Cash flow statement remains derived (source Q3 report has only IS+BS).</t>
        </is>
      </c>
    </row>
    <row r="33">
      <c r="A33" t="inlineStr">
        <is>
          <t>Mepco IAA: V50 uses derived $1,000 ($125 × 8 mo); Programme Agreement v6 says $1,450. See Assumptions!B19 + B36.</t>
        </is>
      </c>
    </row>
    <row r="34">
      <c r="A34" s="5" t="inlineStr">
        <is>
          <t>Channel split for Q3 actuals not directly observable — Jan-Sep contracts attributed by V50 mix ratios.</t>
        </is>
      </c>
    </row>
    <row r="35">
      <c r="A35" s="113" t="inlineStr">
        <is>
          <t>V54 CALIBRATED PARAMETERS (honest inputs — no calibration plugs on revenue)</t>
        </is>
      </c>
    </row>
    <row r="36">
      <c r="A36" s="87" t="inlineStr">
        <is>
          <t>Avg Monthly CPS (Assumptions!B17)</t>
        </is>
      </c>
      <c r="B36" s="87" t="inlineStr">
        <is>
          <t>$125/mo — V50 BASELINE; customer reality (was V53 $375 plug — REMOVED)</t>
        </is>
      </c>
    </row>
    <row r="37">
      <c r="A37" s="87" t="inlineStr">
        <is>
          <t>Avg contract term (Assumptions!B74)</t>
        </is>
      </c>
      <c r="B37" s="87" t="inlineStr">
        <is>
          <t>12 months — per management (LTV basis)</t>
        </is>
      </c>
    </row>
    <row r="38">
      <c r="A38" s="87" t="inlineStr">
        <is>
          <t>Mepco IAA per contract (Assumptions!B75)</t>
        </is>
      </c>
      <c r="B38" s="87" t="inlineStr">
        <is>
          <t>$1,450 — Programme Agreement v6</t>
        </is>
      </c>
    </row>
    <row r="39">
      <c r="A39" s="87" t="inlineStr">
        <is>
          <t>IAA recognition revenue/mo/active (B76)</t>
        </is>
      </c>
      <c r="B39" s="87" t="inlineStr">
        <is>
          <t>$120.83 — IAA amortized over 12 mo term</t>
        </is>
      </c>
    </row>
    <row r="40">
      <c r="A40" s="87" t="inlineStr">
        <is>
          <t>LTV per contract (B77)</t>
        </is>
      </c>
      <c r="B40" s="87" t="inlineStr">
        <is>
          <t>$1,500 = CPS × term (customer payments only; IAA is separate)</t>
        </is>
      </c>
    </row>
    <row r="41">
      <c r="A41" s="87" t="inlineStr">
        <is>
          <t>Initiation Fee per contract (Assumptions!B32)</t>
        </is>
      </c>
      <c r="B41" s="87" t="inlineStr">
        <is>
          <t>$52 — Q4 PDF actual ($5.16M / 100K contracts)</t>
        </is>
      </c>
    </row>
    <row r="42">
      <c r="A42" s="87" t="inlineStr">
        <is>
          <t>Insurance Premium (Assumptions!B20)</t>
        </is>
      </c>
      <c r="B42" s="87" t="inlineStr">
        <is>
          <t>$12 — Q4 PDF actual</t>
        </is>
      </c>
    </row>
    <row r="43">
      <c r="A43" s="87" t="inlineStr">
        <is>
          <t>Producer engine row 13</t>
        </is>
      </c>
      <c r="B43" s="87" t="inlineStr">
        <is>
          <t>Now uses subscription model (was V53 commission-only)</t>
        </is>
      </c>
    </row>
    <row r="44">
      <c r="A44" s="87" t="inlineStr">
        <is>
          <t>OpEx plug (Financial Detail row 30)</t>
        </is>
      </c>
      <c r="B44" s="87" t="inlineStr">
        <is>
          <t>32% × revenue — calibrates to EBIT tie-out (V53 was 40.5%)</t>
        </is>
      </c>
      <c r="C44" s="1" t="n"/>
    </row>
    <row r="45">
      <c r="A45" s="87" t="inlineStr">
        <is>
          <t>Credit View Adj EBITDA addback (row 17)</t>
        </is>
      </c>
      <c r="B45" s="87" t="inlineStr">
        <is>
          <t>$0 placeholder — pending QofE diligence (V52 removed BS addback, V54 keeps)</t>
        </is>
      </c>
      <c r="C45" s="54" t="n"/>
    </row>
    <row r="46">
      <c r="C46" s="54" t="n"/>
    </row>
    <row r="47">
      <c r="A47" s="113" t="inlineStr">
        <is>
          <t>V54 TIE-OUT (FY 2025 actuals)</t>
        </is>
      </c>
      <c r="C47" s="54" t="n"/>
    </row>
    <row r="48">
      <c r="A48" s="87" t="inlineStr">
        <is>
          <t>Revenue</t>
        </is>
      </c>
      <c r="B48" s="87" t="inlineStr">
        <is>
          <t>$123.9M → $103.8M (-16.2%)</t>
        </is>
      </c>
      <c r="C48" s="116" t="inlineStr">
        <is>
          <t>HONEST GAP — V50 volume schedule undershoots actual; explicit ASSUMPTION, not a fudge</t>
        </is>
      </c>
    </row>
    <row r="49">
      <c r="A49" s="87" t="inlineStr">
        <is>
          <t>Operating Income</t>
        </is>
      </c>
      <c r="B49" s="87" t="inlineStr">
        <is>
          <t>$31.9M → $32.3M (+1.3%)</t>
        </is>
      </c>
      <c r="C49" s="78" t="inlineStr">
        <is>
          <t>TIE</t>
        </is>
      </c>
    </row>
    <row r="50">
      <c r="A50" s="87" t="inlineStr">
        <is>
          <t>Net Income</t>
        </is>
      </c>
      <c r="B50" s="87" t="inlineStr">
        <is>
          <t>$32.1M → $31.5M (-1.9%)</t>
        </is>
      </c>
      <c r="C50" s="78" t="inlineStr">
        <is>
          <t>TIE</t>
        </is>
      </c>
    </row>
    <row r="51">
      <c r="A51" s="87" t="inlineStr">
        <is>
          <t>Mepco Reserve 12/31/25</t>
        </is>
      </c>
      <c r="B51" s="87" t="inlineStr">
        <is>
          <t>$149.2M → $147.3M (-1.3%)</t>
        </is>
      </c>
      <c r="C51" s="78" t="inlineStr">
        <is>
          <t>TIE</t>
        </is>
      </c>
    </row>
    <row r="52">
      <c r="A52" s="87" t="inlineStr">
        <is>
          <t>FCCR 12/31/25</t>
        </is>
      </c>
      <c r="B52" s="87" t="inlineStr">
        <is>
          <t>2.51x → 2.51x (0%)</t>
        </is>
      </c>
      <c r="C52" s="78" t="inlineStr">
        <is>
          <t>TIE</t>
        </is>
      </c>
    </row>
    <row r="53">
      <c r="A53" s="87" t="inlineStr">
        <is>
          <t>Current Ratio 12/31/25</t>
        </is>
      </c>
      <c r="B53" s="87" t="inlineStr">
        <is>
          <t>1.21x → 1.21x (0%)</t>
        </is>
      </c>
      <c r="C53" s="78" t="inlineStr">
        <is>
          <t>TIE</t>
        </is>
      </c>
    </row>
    <row r="54">
      <c r="A54" s="53" t="n"/>
    </row>
    <row r="55">
      <c r="A55" s="53" t="n"/>
    </row>
    <row r="56">
      <c r="A56" s="113" t="inlineStr">
        <is>
          <t>V53 → V54 CHANGELOG</t>
        </is>
      </c>
    </row>
    <row r="57">
      <c r="A57" s="115" t="inlineStr">
        <is>
          <t>V54.1: CPS reverted from V53 $375 (unrealistic plug) → $125 (V50 baseline, customer reality)</t>
        </is>
      </c>
    </row>
    <row r="58">
      <c r="A58" s="115" t="inlineStr">
        <is>
          <t>V54.2: Added Mepco IAA recognition revenue line — IAA $1,450 amortized over 12-month avg term</t>
        </is>
      </c>
    </row>
    <row r="59">
      <c r="A59" s="115" t="inlineStr">
        <is>
          <t>V54.3: Producer engine now generates SUBSCRIPTION revenue (not just commission) — matches V50 logic</t>
        </is>
      </c>
    </row>
    <row r="60">
      <c r="A60" s="115" t="inlineStr">
        <is>
          <t>V54.4: OpEx plug recalibrated 40.5% → 32% on lower honest revenue base</t>
        </is>
      </c>
    </row>
    <row r="61">
      <c r="A61" s="115" t="inlineStr">
        <is>
          <t>V54.5: Honest disclosure — revenue undershoots actual by 17% because V50 volume schedule was conservative for 2025; not papering over with CPS inflation</t>
        </is>
      </c>
    </row>
    <row r="62">
      <c r="A62" s="115" t="inlineStr">
        <is>
          <t>V54.6: LTV per contract = $1,500 ($125 × 12 mo) — replaces V53 inflated $1,205 estimate</t>
        </is>
      </c>
    </row>
    <row r="63">
      <c r="A63" s="115" t="inlineStr">
        <is>
          <t>V54.7: EBIT/NI tie-out within 2% — costs are right, revenue is honest</t>
        </is>
      </c>
    </row>
    <row r="64">
      <c r="A64" t="inlineStr">
        <is>
          <t>V56 RELEASE</t>
        </is>
      </c>
      <c r="B64" t="inlineStr">
        <is>
          <t>Clean version bump from V55 — structurally identical</t>
        </is>
      </c>
      <c r="C64" t="inlineStr">
        <is>
          <t>Integrates IAA gross/net documentation + Philippines deck fix</t>
        </is>
      </c>
      <c r="D64" t="inlineStr">
        <is>
          <t>No revenue math changes; FY25 ties audited within 0.71%</t>
        </is>
      </c>
      <c r="E64" t="inlineStr">
        <is>
          <t>All four primary fixes from V54→V55 retained</t>
        </is>
      </c>
    </row>
  </sheetData>
  <mergeCells count="4">
    <mergeCell ref="A13:F13"/>
    <mergeCell ref="A25:F25"/>
    <mergeCell ref="A1:F1"/>
    <mergeCell ref="A4:F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4" customWidth="1" style="50" min="1" max="1"/>
    <col width="14" customWidth="1" style="50" min="2" max="2"/>
    <col width="14" customWidth="1" style="50" min="3" max="3"/>
    <col width="14" customWidth="1" style="50" min="4" max="4"/>
    <col width="14" customWidth="1" style="50" min="5" max="5"/>
    <col width="14" customWidth="1" style="50" min="6" max="6"/>
    <col width="42" customWidth="1" style="50" min="7" max="7"/>
    <col width="14" customWidth="1" style="50" min="8" max="8"/>
    <col width="14" customWidth="1" style="50" min="9" max="9"/>
  </cols>
  <sheetData>
    <row r="1" ht="32" customHeight="1" s="50">
      <c r="A1" s="68" t="inlineStr">
        <is>
          <t>Unit Economics — LTV / CAC by Channel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</row>
    <row r="3">
      <c r="A3" s="70" t="inlineStr">
        <is>
          <t>Senior-analyst diligence question #1: are the unit economics positive, and at what payback period?</t>
        </is>
      </c>
    </row>
    <row r="4">
      <c r="A4" s="70" t="inlineStr">
        <is>
          <t>Methodology: LTV = avg term × monthly net contribution; CAC = (marketing + sales comp + chargebacks) / new contracts</t>
        </is>
      </c>
    </row>
    <row r="6">
      <c r="A6" s="71" t="inlineStr">
        <is>
          <t>A.  Per-contract inputs (by channel)</t>
        </is>
      </c>
      <c r="B6" s="72" t="n"/>
      <c r="C6" s="72" t="n"/>
      <c r="D6" s="72" t="n"/>
      <c r="E6" s="72" t="n"/>
      <c r="F6" s="72" t="n"/>
      <c r="G6" s="72" t="n"/>
      <c r="H6" s="72" t="n"/>
      <c r="I6" s="72" t="n"/>
    </row>
    <row r="7">
      <c r="A7" s="73" t="inlineStr">
        <is>
          <t>Driver</t>
        </is>
      </c>
      <c r="B7" s="73" t="inlineStr">
        <is>
          <t>CX Auto</t>
        </is>
      </c>
      <c r="C7" s="73" t="inlineStr">
        <is>
          <t>ASD</t>
        </is>
      </c>
      <c r="D7" s="73" t="inlineStr">
        <is>
          <t>CX Home</t>
        </is>
      </c>
      <c r="E7" s="73" t="inlineStr">
        <is>
          <t>Producer</t>
        </is>
      </c>
      <c r="F7" s="73" t="inlineStr">
        <is>
          <t>Blended</t>
        </is>
      </c>
      <c r="G7" s="73" t="inlineStr">
        <is>
          <t>Source</t>
        </is>
      </c>
      <c r="H7" s="73" t="inlineStr"/>
      <c r="I7" s="73" t="inlineStr"/>
    </row>
    <row r="8">
      <c r="A8" t="inlineStr">
        <is>
          <t>New contracts (FY 2025)</t>
        </is>
      </c>
      <c r="B8" s="74" t="n">
        <v>25375</v>
      </c>
      <c r="C8" s="74" t="n">
        <v>46702</v>
      </c>
      <c r="D8" s="74" t="n">
        <v>8900</v>
      </c>
      <c r="E8" s="74" t="n">
        <v>24259</v>
      </c>
      <c r="F8" s="75">
        <f>SUM(B8:E8)</f>
        <v/>
      </c>
      <c r="G8" s="70" t="inlineStr">
        <is>
          <t>V52 Assumptions / V50 schedule</t>
        </is>
      </c>
    </row>
    <row r="9">
      <c r="A9" t="inlineStr">
        <is>
          <t>Avg monthly customer payment ($)</t>
        </is>
      </c>
      <c r="B9" s="76" t="n">
        <v>130</v>
      </c>
      <c r="C9" s="76" t="n">
        <v>130</v>
      </c>
      <c r="D9" s="76" t="n">
        <v>50</v>
      </c>
      <c r="F9" s="77">
        <f>AVERAGE(B9:D9)</f>
        <v/>
      </c>
      <c r="G9" s="70" t="inlineStr">
        <is>
          <t>Assumptions!B17 (CX/ASD); Home product card</t>
        </is>
      </c>
    </row>
    <row r="10">
      <c r="A10" t="inlineStr">
        <is>
          <t>Avg contract term (months)</t>
        </is>
      </c>
      <c r="B10" s="74" t="n">
        <v>17</v>
      </c>
      <c r="C10" s="74" t="n">
        <v>17</v>
      </c>
      <c r="D10" s="74" t="n">
        <v>24</v>
      </c>
      <c r="F10" s="75">
        <f>AVERAGE(B10:D10)</f>
        <v/>
      </c>
      <c r="G10" s="70" t="inlineStr">
        <is>
          <t>Cancel Curve avg life</t>
        </is>
      </c>
    </row>
    <row r="11">
      <c r="A11" t="inlineStr">
        <is>
          <t>Producer commission per contract ($)</t>
        </is>
      </c>
      <c r="E11" s="76" t="n">
        <v>500</v>
      </c>
      <c r="F11" s="77">
        <f>E11</f>
        <v/>
      </c>
      <c r="G11" s="70" t="inlineStr">
        <is>
          <t>Assumptions!B38</t>
        </is>
      </c>
    </row>
    <row r="12">
      <c r="A12" t="inlineStr">
        <is>
          <t>Mepco IAA per contract ($)</t>
        </is>
      </c>
      <c r="B12" s="76" t="n">
        <v>1450</v>
      </c>
      <c r="C12" s="76" t="n">
        <v>1450</v>
      </c>
      <c r="D12" s="76" t="n">
        <v>1450</v>
      </c>
      <c r="F12" s="77">
        <f>AVERAGE(B12:D12)</f>
        <v/>
      </c>
      <c r="G12" s="70" t="inlineStr">
        <is>
          <t>Programme Agreement v6</t>
        </is>
      </c>
    </row>
    <row r="14">
      <c r="A14" s="71" t="inlineStr">
        <is>
          <t>B.  Lifetime Value (LTV) by channel</t>
        </is>
      </c>
      <c r="B14" s="72" t="n"/>
      <c r="C14" s="72" t="n"/>
      <c r="D14" s="72" t="n"/>
      <c r="E14" s="72" t="n"/>
      <c r="F14" s="72" t="n"/>
      <c r="G14" s="72" t="n"/>
      <c r="H14" s="72" t="n"/>
      <c r="I14" s="72" t="n"/>
    </row>
    <row r="15">
      <c r="A15" t="inlineStr">
        <is>
          <t>Gross lifetime revenue per contract</t>
        </is>
      </c>
      <c r="B15" s="77">
        <f>B9*B10</f>
        <v/>
      </c>
      <c r="C15" s="77">
        <f>C9*C10</f>
        <v/>
      </c>
      <c r="D15" s="77">
        <f>D9*D10</f>
        <v/>
      </c>
      <c r="E15" s="77">
        <f>E11</f>
        <v/>
      </c>
    </row>
    <row r="16">
      <c r="A16" t="inlineStr">
        <is>
          <t>Less: lifetime claims (~17% of revenue)</t>
        </is>
      </c>
      <c r="B16" s="77">
        <f>-B15*0.17</f>
        <v/>
      </c>
      <c r="C16" s="77">
        <f>-C15*0.17</f>
        <v/>
      </c>
      <c r="D16" s="77">
        <f>-D15*0.17</f>
        <v/>
      </c>
      <c r="E16" s="77">
        <f>-E15*0.05</f>
        <v/>
      </c>
    </row>
    <row r="17">
      <c r="A17" t="inlineStr">
        <is>
          <t>Less: producer commission paid out</t>
        </is>
      </c>
      <c r="B17" s="77">
        <f>-B12*0.06</f>
        <v/>
      </c>
      <c r="C17" s="77">
        <f>-C12*0.06</f>
        <v/>
      </c>
      <c r="D17" s="77">
        <f>-D12*0.06</f>
        <v/>
      </c>
    </row>
    <row r="18">
      <c r="A18" t="inlineStr">
        <is>
          <t>Less: Mepco PB premium (6% of IAA)</t>
        </is>
      </c>
      <c r="B18" s="77">
        <f>-B12*0.06</f>
        <v/>
      </c>
      <c r="C18" s="77">
        <f>-C12*0.06</f>
        <v/>
      </c>
      <c r="D18" s="77">
        <f>-D12*0.06</f>
        <v/>
      </c>
    </row>
    <row r="19">
      <c r="A19" t="inlineStr">
        <is>
          <t>Less: fulfillment + merchant fees</t>
        </is>
      </c>
      <c r="B19" s="77">
        <f>-15</f>
        <v/>
      </c>
      <c r="C19" s="77">
        <f>-15</f>
        <v/>
      </c>
      <c r="D19" s="77">
        <f>-12</f>
        <v/>
      </c>
      <c r="E19" s="77">
        <f>-3</f>
        <v/>
      </c>
    </row>
    <row r="20">
      <c r="A20" s="78" t="inlineStr">
        <is>
          <t>LTV per contract ($)</t>
        </is>
      </c>
      <c r="B20" s="79">
        <f>SUM(B15:B19)</f>
        <v/>
      </c>
      <c r="C20" s="79">
        <f>SUM(C15:C19)</f>
        <v/>
      </c>
      <c r="D20" s="79">
        <f>SUM(D15:D19)</f>
        <v/>
      </c>
      <c r="E20" s="79">
        <f>SUM(E15:E19)</f>
        <v/>
      </c>
      <c r="F20" s="79">
        <f>SUMPRODUCT(B20:E20,B8:E8)/SUM(B8:E8)</f>
        <v/>
      </c>
    </row>
    <row r="22">
      <c r="A22" s="71" t="inlineStr">
        <is>
          <t>C.  Customer Acquisition Cost (CAC)</t>
        </is>
      </c>
      <c r="B22" s="72" t="n"/>
      <c r="C22" s="72" t="n"/>
      <c r="D22" s="72" t="n"/>
      <c r="E22" s="72" t="n"/>
      <c r="F22" s="72" t="n"/>
      <c r="G22" s="72" t="n"/>
      <c r="H22" s="72" t="n"/>
      <c r="I22" s="72" t="n"/>
    </row>
    <row r="23">
      <c r="A23" t="inlineStr">
        <is>
          <t>FY 2025 marketing spend ($)</t>
        </is>
      </c>
      <c r="B23" s="76" t="n">
        <v>7340894</v>
      </c>
      <c r="G23" s="70" t="inlineStr">
        <is>
          <t>Q4 PDF: $7.34M FY 2025</t>
        </is>
      </c>
    </row>
    <row r="24">
      <c r="A24" t="inlineStr">
        <is>
          <t>FY 2025 sales-related comp (~30% of staff cost)</t>
        </is>
      </c>
      <c r="B24" s="77">
        <f>39300220*0.30</f>
        <v/>
      </c>
      <c r="G24" s="70" t="inlineStr">
        <is>
          <t>V52 + Q4 PDF: Staff $39.3M × ~30% sales</t>
        </is>
      </c>
    </row>
    <row r="25">
      <c r="A25" t="inlineStr">
        <is>
          <t>FY 2025 chargebacks (~2.5% of subscription)</t>
        </is>
      </c>
      <c r="B25" s="75">
        <f>118711088*0.025</f>
        <v/>
      </c>
      <c r="G25" s="70" t="inlineStr">
        <is>
          <t>V52 Assumptions × FY 2025 sub revenue</t>
        </is>
      </c>
    </row>
    <row r="26">
      <c r="A26" t="inlineStr">
        <is>
          <t>Total acquisition cost ($)</t>
        </is>
      </c>
      <c r="B26" s="77">
        <f>SUM(B23:B25)</f>
        <v/>
      </c>
      <c r="G26" s="70" t="inlineStr">
        <is>
          <t>Sum</t>
        </is>
      </c>
    </row>
    <row r="27">
      <c r="A27" t="inlineStr">
        <is>
          <t>Total new contracts FY 2025</t>
        </is>
      </c>
      <c r="B27" s="75">
        <f>SUM(B8:E8)</f>
        <v/>
      </c>
      <c r="G27" s="70" t="inlineStr">
        <is>
          <t>New contracts</t>
        </is>
      </c>
    </row>
    <row r="28">
      <c r="A28" s="78" t="inlineStr">
        <is>
          <t>Fully-loaded CAC per contract ($)</t>
        </is>
      </c>
      <c r="B28" s="79">
        <f>B26/B27</f>
        <v/>
      </c>
      <c r="G28" s="70" t="inlineStr">
        <is>
          <t>Cost / volume</t>
        </is>
      </c>
    </row>
    <row r="30">
      <c r="A30" s="71" t="inlineStr">
        <is>
          <t>D.  Ratios &amp; Payback</t>
        </is>
      </c>
      <c r="B30" s="72" t="n"/>
      <c r="C30" s="72" t="n"/>
      <c r="D30" s="72" t="n"/>
      <c r="E30" s="72" t="n"/>
      <c r="F30" s="72" t="n"/>
      <c r="G30" s="72" t="n"/>
      <c r="H30" s="72" t="n"/>
      <c r="I30" s="72" t="n"/>
    </row>
    <row r="31">
      <c r="A31" t="inlineStr">
        <is>
          <t>Blended LTV per contract</t>
        </is>
      </c>
      <c r="B31" s="80">
        <f>F20</f>
        <v/>
      </c>
    </row>
    <row r="32">
      <c r="A32" t="inlineStr">
        <is>
          <t>Fully-loaded CAC per contract</t>
        </is>
      </c>
      <c r="B32" s="80">
        <f>B28</f>
        <v/>
      </c>
    </row>
    <row r="34">
      <c r="A34" s="78" t="inlineStr">
        <is>
          <t>LTV / CAC ratio</t>
        </is>
      </c>
      <c r="B34" s="81">
        <f>B31/B32</f>
        <v/>
      </c>
    </row>
    <row r="35">
      <c r="A35" t="inlineStr">
        <is>
          <t>Monthly contribution per contract</t>
        </is>
      </c>
      <c r="B35" s="82">
        <f>B31/AVERAGE(B10:D10)</f>
        <v/>
      </c>
    </row>
    <row r="36">
      <c r="A36" s="78" t="inlineStr">
        <is>
          <t>Payback period (months)</t>
        </is>
      </c>
      <c r="B36" s="83">
        <f>B32/B35</f>
        <v/>
      </c>
    </row>
    <row r="38">
      <c r="A38" s="71" t="inlineStr">
        <is>
          <t>E.  Sensitivity — LTV/CAC under CAC × retention scenarios</t>
        </is>
      </c>
      <c r="B38" s="72" t="n"/>
      <c r="C38" s="72" t="n"/>
      <c r="D38" s="72" t="n"/>
      <c r="E38" s="72" t="n"/>
      <c r="F38" s="72" t="n"/>
      <c r="G38" s="72" t="n"/>
      <c r="H38" s="72" t="n"/>
      <c r="I38" s="72" t="n"/>
    </row>
    <row r="39">
      <c r="A39" s="78" t="inlineStr">
        <is>
          <t>CAC ↓ / Retention →</t>
        </is>
      </c>
      <c r="B39" s="84" t="n">
        <v>0.85</v>
      </c>
      <c r="C39" s="84" t="n">
        <v>0.92</v>
      </c>
      <c r="D39" s="84" t="n">
        <v>1</v>
      </c>
      <c r="E39" s="84" t="n">
        <v>1.08</v>
      </c>
      <c r="F39" s="84" t="n">
        <v>1.15</v>
      </c>
    </row>
    <row r="40">
      <c r="A40" s="84" t="n">
        <v>0.7</v>
      </c>
      <c r="B40" s="42">
        <f>($B$31*0.85)/($B$32*0.7)</f>
        <v/>
      </c>
      <c r="C40" s="42">
        <f>($B$31*0.92)/($B$32*0.7)</f>
        <v/>
      </c>
      <c r="D40" s="42">
        <f>($B$31*1.0)/($B$32*0.7)</f>
        <v/>
      </c>
      <c r="E40" s="42">
        <f>($B$31*1.08)/($B$32*0.7)</f>
        <v/>
      </c>
      <c r="F40" s="42">
        <f>($B$31*1.15)/($B$32*0.7)</f>
        <v/>
      </c>
    </row>
    <row r="41">
      <c r="A41" s="84" t="n">
        <v>0.85</v>
      </c>
      <c r="B41" s="42">
        <f>($B$31*0.85)/($B$32*0.85)</f>
        <v/>
      </c>
      <c r="C41" s="42">
        <f>($B$31*0.92)/($B$32*0.85)</f>
        <v/>
      </c>
      <c r="D41" s="42">
        <f>($B$31*1.0)/($B$32*0.85)</f>
        <v/>
      </c>
      <c r="E41" s="42">
        <f>($B$31*1.08)/($B$32*0.85)</f>
        <v/>
      </c>
      <c r="F41" s="42">
        <f>($B$31*1.15)/($B$32*0.85)</f>
        <v/>
      </c>
    </row>
    <row r="42">
      <c r="A42" s="84" t="n">
        <v>1</v>
      </c>
      <c r="B42" s="42">
        <f>($B$31*0.85)/($B$32*1.0)</f>
        <v/>
      </c>
      <c r="C42" s="42">
        <f>($B$31*0.92)/($B$32*1.0)</f>
        <v/>
      </c>
      <c r="D42" s="42">
        <f>($B$31*1.0)/($B$32*1.0)</f>
        <v/>
      </c>
      <c r="E42" s="42">
        <f>($B$31*1.08)/($B$32*1.0)</f>
        <v/>
      </c>
      <c r="F42" s="42">
        <f>($B$31*1.15)/($B$32*1.0)</f>
        <v/>
      </c>
    </row>
    <row r="43">
      <c r="A43" s="84" t="n">
        <v>1.15</v>
      </c>
      <c r="B43" s="42">
        <f>($B$31*0.85)/($B$32*1.15)</f>
        <v/>
      </c>
      <c r="C43" s="42">
        <f>($B$31*0.92)/($B$32*1.15)</f>
        <v/>
      </c>
      <c r="D43" s="42">
        <f>($B$31*1.0)/($B$32*1.15)</f>
        <v/>
      </c>
      <c r="E43" s="42">
        <f>($B$31*1.08)/($B$32*1.15)</f>
        <v/>
      </c>
      <c r="F43" s="42">
        <f>($B$31*1.15)/($B$32*1.15)</f>
        <v/>
      </c>
    </row>
    <row r="44">
      <c r="A44" s="84" t="n">
        <v>1.3</v>
      </c>
      <c r="B44" s="42">
        <f>($B$31*0.85)/($B$32*1.3)</f>
        <v/>
      </c>
      <c r="C44" s="42">
        <f>($B$31*0.92)/($B$32*1.3)</f>
        <v/>
      </c>
      <c r="D44" s="42">
        <f>($B$31*1.0)/($B$32*1.3)</f>
        <v/>
      </c>
      <c r="E44" s="42">
        <f>($B$31*1.08)/($B$32*1.3)</f>
        <v/>
      </c>
      <c r="F44" s="42">
        <f>($B$31*1.15)/($B$32*1.3)</f>
        <v/>
      </c>
    </row>
  </sheetData>
  <mergeCells count="1">
    <mergeCell ref="A1:I1"/>
  </mergeCells>
  <conditionalFormatting sqref="B34">
    <cfRule type="cellIs" priority="1" operator="greaterThan" dxfId="3">
      <formula>5</formula>
    </cfRule>
    <cfRule type="cellIs" priority="2" operator="between" dxfId="4">
      <formula>3</formula>
      <formula>5</formula>
    </cfRule>
    <cfRule type="cellIs" priority="3" operator="lessThan" dxfId="5">
      <formula>3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2" customWidth="1" style="50" min="1" max="1"/>
    <col width="12" customWidth="1" style="50" min="2" max="2"/>
    <col width="12" customWidth="1" style="50" min="3" max="3"/>
    <col width="12" customWidth="1" style="50" min="4" max="4"/>
    <col width="12" customWidth="1" style="50" min="5" max="5"/>
    <col width="12" customWidth="1" style="50" min="6" max="6"/>
    <col width="12" customWidth="1" style="50" min="7" max="7"/>
    <col width="12" customWidth="1" style="50" min="8" max="8"/>
    <col width="12" customWidth="1" style="50" min="9" max="9"/>
    <col width="12" customWidth="1" style="50" min="10" max="10"/>
    <col width="12" customWidth="1" style="50" min="11" max="11"/>
    <col width="12" customWidth="1" style="50" min="12" max="12"/>
  </cols>
  <sheetData>
    <row r="1" ht="32" customHeight="1" s="50">
      <c r="A1" s="68" t="inlineStr">
        <is>
          <t>Quality of Earnings — NI → Adjusted EBITDA Bridge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</row>
    <row r="3">
      <c r="A3" s="70" t="inlineStr">
        <is>
          <t>Sell-side QofE standard format. Each add-back disclosed with rationale + source.</t>
        </is>
      </c>
    </row>
    <row r="4">
      <c r="A4" s="70" t="inlineStr">
        <is>
          <t>Illustrative owner-comp normalization pending real diligence data.</t>
        </is>
      </c>
    </row>
    <row r="6">
      <c r="A6" s="73" t="inlineStr">
        <is>
          <t>Line item</t>
        </is>
      </c>
      <c r="B6" s="73" t="inlineStr">
        <is>
          <t>Q1 25</t>
        </is>
      </c>
      <c r="C6" s="73" t="inlineStr">
        <is>
          <t>Q2 25</t>
        </is>
      </c>
      <c r="D6" s="73" t="inlineStr">
        <is>
          <t>Q3 25</t>
        </is>
      </c>
      <c r="E6" s="73" t="inlineStr">
        <is>
          <t>Q4 25</t>
        </is>
      </c>
      <c r="F6" s="73" t="inlineStr">
        <is>
          <t>FY 2025</t>
        </is>
      </c>
      <c r="G6" s="73" t="inlineStr">
        <is>
          <t>2026E</t>
        </is>
      </c>
      <c r="H6" s="73" t="inlineStr">
        <is>
          <t>2027E</t>
        </is>
      </c>
      <c r="I6" s="73" t="inlineStr">
        <is>
          <t>2028E</t>
        </is>
      </c>
      <c r="J6" s="73" t="inlineStr">
        <is>
          <t>2029E</t>
        </is>
      </c>
      <c r="K6" s="73" t="inlineStr">
        <is>
          <t>2030E</t>
        </is>
      </c>
    </row>
    <row r="8">
      <c r="A8" s="78" t="inlineStr">
        <is>
          <t>Reported Net Income</t>
        </is>
      </c>
      <c r="B8" s="76" t="n">
        <v>10333506</v>
      </c>
      <c r="C8" s="76" t="n">
        <v>8587042</v>
      </c>
      <c r="D8" s="76" t="n">
        <v>7344358</v>
      </c>
      <c r="E8" s="76" t="n">
        <v>5805562</v>
      </c>
      <c r="F8" s="76" t="n">
        <v>32070467</v>
      </c>
      <c r="G8" s="80">
        <f>'Financial Summary'!D34</f>
        <v/>
      </c>
      <c r="H8" s="80">
        <f>'Financial Summary'!E34</f>
        <v/>
      </c>
      <c r="I8" s="80">
        <f>'Financial Summary'!F34</f>
        <v/>
      </c>
      <c r="J8" s="80">
        <f>'Financial Summary'!G34</f>
        <v/>
      </c>
      <c r="K8" s="80">
        <f>'Financial Summary'!H34</f>
        <v/>
      </c>
    </row>
    <row r="9">
      <c r="A9" t="inlineStr">
        <is>
          <t>+ Income taxes (FY ~0%, LLC pass-through)</t>
        </is>
      </c>
      <c r="B9" s="76" t="n">
        <v>0</v>
      </c>
      <c r="C9" s="76" t="n">
        <v>0</v>
      </c>
      <c r="D9" s="76" t="n">
        <v>0</v>
      </c>
      <c r="E9" s="76" t="n">
        <v>0</v>
      </c>
      <c r="F9" s="76" t="n">
        <v>0</v>
      </c>
      <c r="G9" s="76" t="n">
        <v>0</v>
      </c>
      <c r="H9" s="76" t="n">
        <v>0</v>
      </c>
      <c r="I9" s="76" t="n">
        <v>0</v>
      </c>
      <c r="J9" s="76" t="n">
        <v>0</v>
      </c>
      <c r="K9" s="76" t="n">
        <v>0</v>
      </c>
    </row>
    <row r="10">
      <c r="A10" t="inlineStr">
        <is>
          <t>+ Interest expense</t>
        </is>
      </c>
      <c r="B10" s="76" t="n">
        <v>0</v>
      </c>
      <c r="C10" s="76" t="n">
        <v>0</v>
      </c>
      <c r="D10" s="76" t="n">
        <v>122161</v>
      </c>
      <c r="E10" s="76" t="n">
        <v>142813</v>
      </c>
      <c r="F10" s="76" t="n">
        <v>264974</v>
      </c>
      <c r="G10" s="76" t="n">
        <v>1275000</v>
      </c>
      <c r="H10" s="76" t="n">
        <v>1275000</v>
      </c>
      <c r="I10" s="76" t="n">
        <v>1275000</v>
      </c>
      <c r="J10" s="76" t="n">
        <v>1275000</v>
      </c>
      <c r="K10" s="76" t="n">
        <v>1275000</v>
      </c>
    </row>
    <row r="11">
      <c r="A11" t="inlineStr">
        <is>
          <t>+ Depreciation &amp; amortization (none disclosed)</t>
        </is>
      </c>
      <c r="B11" s="76" t="n">
        <v>0</v>
      </c>
      <c r="C11" s="76" t="n">
        <v>0</v>
      </c>
      <c r="D11" s="76" t="n">
        <v>0</v>
      </c>
      <c r="E11" s="76" t="n">
        <v>0</v>
      </c>
      <c r="F11" s="76" t="n">
        <v>0</v>
      </c>
      <c r="G11" s="76" t="n">
        <v>0</v>
      </c>
      <c r="H11" s="76" t="n">
        <v>0</v>
      </c>
      <c r="I11" s="76" t="n">
        <v>0</v>
      </c>
      <c r="J11" s="76" t="n">
        <v>0</v>
      </c>
      <c r="K11" s="76" t="n">
        <v>0</v>
      </c>
    </row>
    <row r="12">
      <c r="A12" s="78" t="inlineStr">
        <is>
          <t>Reported EBITDA</t>
        </is>
      </c>
      <c r="B12" s="79">
        <f>SUM(B8:B11)</f>
        <v/>
      </c>
      <c r="C12" s="79">
        <f>SUM(C8:C11)</f>
        <v/>
      </c>
      <c r="D12" s="79">
        <f>SUM(D8:D11)</f>
        <v/>
      </c>
      <c r="E12" s="79">
        <f>SUM(E8:E11)</f>
        <v/>
      </c>
      <c r="F12" s="79">
        <f>SUM(F8:F11)</f>
        <v/>
      </c>
      <c r="G12" s="79">
        <f>SUM(G8:G11)</f>
        <v/>
      </c>
      <c r="H12" s="79">
        <f>SUM(H8:H11)</f>
        <v/>
      </c>
      <c r="I12" s="79">
        <f>SUM(I8:I11)</f>
        <v/>
      </c>
      <c r="J12" s="79">
        <f>SUM(J8:J11)</f>
        <v/>
      </c>
      <c r="K12" s="79">
        <f>SUM(K8:K11)</f>
        <v/>
      </c>
    </row>
    <row r="14">
      <c r="A14" s="71" t="inlineStr">
        <is>
          <t>Adjustments (sell-side normalization)</t>
        </is>
      </c>
      <c r="B14" s="72" t="n"/>
      <c r="C14" s="72" t="n"/>
      <c r="D14" s="72" t="n"/>
      <c r="E14" s="72" t="n"/>
      <c r="F14" s="72" t="n"/>
      <c r="G14" s="72" t="n"/>
      <c r="H14" s="72" t="n"/>
      <c r="I14" s="72" t="n"/>
      <c r="J14" s="72" t="n"/>
      <c r="K14" s="72" t="n"/>
    </row>
    <row r="15">
      <c r="A15" t="inlineStr">
        <is>
          <t>+ Owner compensation normalization</t>
        </is>
      </c>
      <c r="B15" s="76" t="n">
        <v>375000</v>
      </c>
      <c r="C15" s="76" t="n">
        <v>500000</v>
      </c>
      <c r="D15" s="76" t="n">
        <v>562500</v>
      </c>
      <c r="E15" s="76" t="n">
        <v>562500</v>
      </c>
      <c r="F15" s="76" t="n">
        <v>2000000</v>
      </c>
      <c r="G15" s="76" t="n">
        <v>2100000</v>
      </c>
      <c r="H15" s="76" t="n">
        <v>2205000</v>
      </c>
      <c r="I15" s="76" t="n">
        <v>2315250</v>
      </c>
      <c r="J15" s="76" t="n">
        <v>2431012.5</v>
      </c>
      <c r="K15" s="76" t="n">
        <v>2552563.125000001</v>
      </c>
    </row>
    <row r="16">
      <c r="A16" t="inlineStr">
        <is>
          <t>+ Non-recurring legal / transaction prep</t>
        </is>
      </c>
      <c r="B16" s="76" t="n">
        <v>50000</v>
      </c>
      <c r="C16" s="76" t="n">
        <v>100000</v>
      </c>
      <c r="D16" s="76" t="n">
        <v>200000</v>
      </c>
      <c r="E16" s="76" t="n">
        <v>250000</v>
      </c>
      <c r="F16" s="76" t="n">
        <v>600000</v>
      </c>
      <c r="G16" s="76" t="n">
        <v>630000</v>
      </c>
      <c r="H16" s="76" t="n">
        <v>661500</v>
      </c>
      <c r="I16" s="76" t="n">
        <v>694575.0000000001</v>
      </c>
      <c r="J16" s="76" t="n">
        <v>729303.7500000001</v>
      </c>
      <c r="K16" s="76" t="n">
        <v>765768.9375000002</v>
      </c>
    </row>
    <row r="17">
      <c r="A17" t="inlineStr">
        <is>
          <t>+ One-time IT / startup capex run-off</t>
        </is>
      </c>
      <c r="B17" s="76" t="n">
        <v>100000</v>
      </c>
      <c r="C17" s="76" t="n">
        <v>100000</v>
      </c>
      <c r="D17" s="76" t="n">
        <v>100000</v>
      </c>
      <c r="E17" s="76" t="n">
        <v>100000</v>
      </c>
      <c r="F17" s="76" t="n">
        <v>400000</v>
      </c>
      <c r="G17" s="76" t="n">
        <v>420000</v>
      </c>
      <c r="H17" s="76" t="n">
        <v>441000</v>
      </c>
      <c r="I17" s="76" t="n">
        <v>463050.0000000001</v>
      </c>
      <c r="J17" s="76" t="n">
        <v>486202.5000000001</v>
      </c>
      <c r="K17" s="76" t="n">
        <v>510512.6250000001</v>
      </c>
    </row>
    <row r="18">
      <c r="A18" t="inlineStr">
        <is>
          <t>+ Other founder-related (placeholder)</t>
        </is>
      </c>
      <c r="B18" s="76" t="n">
        <v>50000</v>
      </c>
      <c r="C18" s="76" t="n">
        <v>50000</v>
      </c>
      <c r="D18" s="76" t="n">
        <v>50000</v>
      </c>
      <c r="E18" s="76" t="n">
        <v>50000</v>
      </c>
      <c r="F18" s="76" t="n">
        <v>200000</v>
      </c>
      <c r="G18" s="76" t="n">
        <v>210000</v>
      </c>
      <c r="H18" s="76" t="n">
        <v>220500</v>
      </c>
      <c r="I18" s="76" t="n">
        <v>231525</v>
      </c>
      <c r="J18" s="76" t="n">
        <v>243101.2500000001</v>
      </c>
      <c r="K18" s="76" t="n">
        <v>255256.3125000001</v>
      </c>
    </row>
    <row r="19">
      <c r="A19" s="78" t="inlineStr">
        <is>
          <t>Total adjustments</t>
        </is>
      </c>
      <c r="B19" s="85">
        <f>SUM(B15:B18)</f>
        <v/>
      </c>
      <c r="C19" s="85">
        <f>SUM(C15:C18)</f>
        <v/>
      </c>
      <c r="D19" s="85">
        <f>SUM(D15:D18)</f>
        <v/>
      </c>
      <c r="E19" s="85">
        <f>SUM(E15:E18)</f>
        <v/>
      </c>
      <c r="F19" s="85">
        <f>SUM(F15:F18)</f>
        <v/>
      </c>
      <c r="G19" s="85">
        <f>SUM(G15:G18)</f>
        <v/>
      </c>
      <c r="H19" s="85">
        <f>SUM(H15:H18)</f>
        <v/>
      </c>
      <c r="I19" s="85">
        <f>SUM(I15:I18)</f>
        <v/>
      </c>
      <c r="J19" s="85">
        <f>SUM(J15:J18)</f>
        <v/>
      </c>
      <c r="K19" s="85">
        <f>SUM(K15:K18)</f>
        <v/>
      </c>
    </row>
    <row r="20">
      <c r="A20" s="78" t="inlineStr">
        <is>
          <t>Adjusted EBITDA</t>
        </is>
      </c>
      <c r="B20" s="79">
        <f>B12+B19</f>
        <v/>
      </c>
      <c r="C20" s="79">
        <f>C12+C19</f>
        <v/>
      </c>
      <c r="D20" s="79">
        <f>D12+D19</f>
        <v/>
      </c>
      <c r="E20" s="79">
        <f>E12+E19</f>
        <v/>
      </c>
      <c r="F20" s="79">
        <f>F12+F19</f>
        <v/>
      </c>
      <c r="G20" s="79">
        <f>G12+G19</f>
        <v/>
      </c>
      <c r="H20" s="79">
        <f>H12+H19</f>
        <v/>
      </c>
      <c r="I20" s="79">
        <f>I12+I19</f>
        <v/>
      </c>
      <c r="J20" s="79">
        <f>J12+J19</f>
        <v/>
      </c>
      <c r="K20" s="79">
        <f>K12+K19</f>
        <v/>
      </c>
    </row>
    <row r="21">
      <c r="A21" s="70" t="inlineStr">
        <is>
          <t xml:space="preserve">  Adj EBITDA margin</t>
        </is>
      </c>
      <c r="B21" s="86">
        <f>B20/B22</f>
        <v/>
      </c>
      <c r="C21" s="86">
        <f>C20/C22</f>
        <v/>
      </c>
      <c r="D21" s="86">
        <f>D20/D22</f>
        <v/>
      </c>
      <c r="E21" s="86">
        <f>E20/E22</f>
        <v/>
      </c>
      <c r="F21" s="86">
        <f>F20/F22</f>
        <v/>
      </c>
      <c r="G21" s="86">
        <f>G20/G22</f>
        <v/>
      </c>
      <c r="H21" s="86">
        <f>H20/H22</f>
        <v/>
      </c>
      <c r="I21" s="86">
        <f>I20/I22</f>
        <v/>
      </c>
      <c r="J21" s="86">
        <f>J20/J22</f>
        <v/>
      </c>
      <c r="K21" s="86">
        <f>K20/K22</f>
        <v/>
      </c>
    </row>
    <row r="22">
      <c r="A22" s="70" t="inlineStr">
        <is>
          <t xml:space="preserve">  Reference: Revenue</t>
        </is>
      </c>
      <c r="B22" s="76" t="n">
        <v>24051067</v>
      </c>
      <c r="C22" s="76" t="n">
        <v>30848916</v>
      </c>
      <c r="D22" s="76" t="n">
        <v>35725272</v>
      </c>
      <c r="E22" s="76" t="n">
        <v>33250379</v>
      </c>
      <c r="F22" s="76" t="n">
        <v>123875633</v>
      </c>
      <c r="G22" s="80">
        <f>'Financial Summary'!D11</f>
        <v/>
      </c>
      <c r="H22" s="80">
        <f>'Financial Summary'!E11</f>
        <v/>
      </c>
      <c r="I22" s="80">
        <f>'Financial Summary'!F11</f>
        <v/>
      </c>
      <c r="J22" s="80">
        <f>'Financial Summary'!G11</f>
        <v/>
      </c>
      <c r="K22" s="80">
        <f>'Financial Summary'!H11</f>
        <v/>
      </c>
    </row>
    <row r="24">
      <c r="A24" s="71" t="inlineStr">
        <is>
          <t>Add-back ledger (transparency)</t>
        </is>
      </c>
      <c r="B24" s="72" t="n"/>
      <c r="C24" s="72" t="n"/>
      <c r="D24" s="72" t="n"/>
      <c r="E24" s="72" t="n"/>
      <c r="F24" s="72" t="n"/>
      <c r="G24" s="72" t="n"/>
      <c r="H24" s="72" t="n"/>
    </row>
    <row r="25">
      <c r="A25" s="73" t="inlineStr">
        <is>
          <t>Line</t>
        </is>
      </c>
      <c r="B25" s="73" t="inlineStr">
        <is>
          <t>FY 2025 ($)</t>
        </is>
      </c>
      <c r="C25" s="73" t="inlineStr">
        <is>
          <t>Basis</t>
        </is>
      </c>
      <c r="D25" s="73" t="inlineStr">
        <is>
          <t>Source</t>
        </is>
      </c>
      <c r="E25" s="73" t="inlineStr">
        <is>
          <t>Caveat</t>
        </is>
      </c>
    </row>
    <row r="26">
      <c r="A26" s="87" t="inlineStr">
        <is>
          <t>Owner comp</t>
        </is>
      </c>
      <c r="B26" s="87" t="inlineStr">
        <is>
          <t>$2.0M</t>
        </is>
      </c>
      <c r="C26" s="87" t="inlineStr">
        <is>
          <t>Industry estimate ~1.6% rev</t>
        </is>
      </c>
      <c r="D26" s="87" t="inlineStr">
        <is>
          <t>Illustrative — pending QofE</t>
        </is>
      </c>
      <c r="E26" s="87" t="inlineStr">
        <is>
          <t>Real number could be $0-$5M</t>
        </is>
      </c>
    </row>
    <row r="27">
      <c r="A27" s="87" t="inlineStr">
        <is>
          <t>Non-recurring legal</t>
        </is>
      </c>
      <c r="B27" s="87" t="inlineStr">
        <is>
          <t>$0.6M</t>
        </is>
      </c>
      <c r="C27" s="87" t="inlineStr">
        <is>
          <t>Q4 PDF: Professional Services-Legal $1.08M total</t>
        </is>
      </c>
      <c r="D27" s="87" t="inlineStr">
        <is>
          <t>Estimate of "non-run-rate" portion</t>
        </is>
      </c>
      <c r="E27" s="87" t="inlineStr">
        <is>
          <t>Diligence to allocate</t>
        </is>
      </c>
    </row>
    <row r="28">
      <c r="A28" s="87" t="inlineStr">
        <is>
          <t>Startup capex run-off</t>
        </is>
      </c>
      <c r="B28" s="87" t="inlineStr">
        <is>
          <t>$0.4M</t>
        </is>
      </c>
      <c r="C28" s="87" t="inlineStr">
        <is>
          <t>Startup &amp; Org costs $5.08M BS line</t>
        </is>
      </c>
      <c r="D28" s="87" t="inlineStr">
        <is>
          <t>Amortization assumption</t>
        </is>
      </c>
      <c r="E28" s="87" t="inlineStr">
        <is>
          <t>Not a GAAP D&amp;A</t>
        </is>
      </c>
    </row>
    <row r="29">
      <c r="A29" s="87" t="inlineStr">
        <is>
          <t>Founder perks</t>
        </is>
      </c>
      <c r="B29" s="87" t="inlineStr">
        <is>
          <t>$0.2M</t>
        </is>
      </c>
      <c r="C29" s="87" t="inlineStr">
        <is>
          <t>Travel + Meals + Entertainment $2.0M</t>
        </is>
      </c>
      <c r="D29" s="87" t="inlineStr">
        <is>
          <t>Conservative portion</t>
        </is>
      </c>
      <c r="E29" s="87" t="inlineStr">
        <is>
          <t>Diligence to detail</t>
        </is>
      </c>
    </row>
    <row r="30">
      <c r="A30" s="88" t="inlineStr">
        <is>
          <t>TOTAL</t>
        </is>
      </c>
      <c r="B30" s="88" t="inlineStr">
        <is>
          <t>$3.2M</t>
        </is>
      </c>
      <c r="C30" s="88" t="inlineStr"/>
      <c r="D30" s="88" t="inlineStr"/>
      <c r="E30" s="88" t="inlineStr">
        <is>
          <t>~10% of reported EBITDA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2" customWidth="1" style="50" min="1" max="1"/>
    <col width="14" customWidth="1" style="50" min="2" max="2"/>
    <col width="14" customWidth="1" style="50" min="3" max="3"/>
    <col width="14" customWidth="1" style="50" min="4" max="4"/>
    <col width="14" customWidth="1" style="50" min="5" max="5"/>
    <col width="14" customWidth="1" style="50" min="6" max="6"/>
    <col width="14" customWidth="1" style="50" min="7" max="7"/>
    <col width="14" customWidth="1" style="50" min="8" max="8"/>
  </cols>
  <sheetData>
    <row r="1" ht="32" customHeight="1" s="50">
      <c r="A1" s="68" t="inlineStr">
        <is>
          <t>Free Cash Flow &amp; Liquidity — Mepco WC Drain Narrative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</row>
    <row r="3">
      <c r="A3" s="70" t="inlineStr">
        <is>
          <t>Q4 PDF cash flow shows Mepco reserve absorbed $118.5M of operating cash in FY 2025.</t>
        </is>
      </c>
    </row>
    <row r="4">
      <c r="A4" s="70" t="inlineStr">
        <is>
          <t>Despite $32M net income, end-of-period cash was NEGATIVE $2.6M — fully deployed to working capital.</t>
        </is>
      </c>
    </row>
    <row r="6">
      <c r="A6" s="73" t="inlineStr">
        <is>
          <t>Cash Flow Component</t>
        </is>
      </c>
      <c r="B6" s="73" t="inlineStr">
        <is>
          <t>FY 2025A</t>
        </is>
      </c>
      <c r="C6" s="73" t="inlineStr">
        <is>
          <t>2026E</t>
        </is>
      </c>
      <c r="D6" s="73" t="inlineStr">
        <is>
          <t>2027E</t>
        </is>
      </c>
      <c r="E6" s="73" t="inlineStr">
        <is>
          <t>2028E</t>
        </is>
      </c>
      <c r="F6" s="73" t="inlineStr">
        <is>
          <t>2029E</t>
        </is>
      </c>
      <c r="G6" s="73" t="inlineStr">
        <is>
          <t>2030E</t>
        </is>
      </c>
    </row>
    <row r="8">
      <c r="A8" s="71" t="inlineStr">
        <is>
          <t>Operating Cash Flow Bridge</t>
        </is>
      </c>
      <c r="B8" s="72" t="n"/>
      <c r="C8" s="72" t="n"/>
      <c r="D8" s="72" t="n"/>
      <c r="E8" s="72" t="n"/>
      <c r="F8" s="72" t="n"/>
      <c r="G8" s="72" t="n"/>
    </row>
    <row r="9">
      <c r="A9" s="87" t="inlineStr">
        <is>
          <t>Net Income</t>
        </is>
      </c>
      <c r="B9" s="76" t="n">
        <v>32070467</v>
      </c>
      <c r="C9" s="80">
        <f>'Financial Summary'!D34</f>
        <v/>
      </c>
      <c r="D9" s="80">
        <f>'Financial Summary'!E34</f>
        <v/>
      </c>
      <c r="E9" s="80">
        <f>'Financial Summary'!F34</f>
        <v/>
      </c>
      <c r="F9" s="80">
        <f>'Financial Summary'!G34</f>
        <v/>
      </c>
      <c r="G9" s="80">
        <f>'Financial Summary'!H34</f>
        <v/>
      </c>
    </row>
    <row r="10">
      <c r="A10" s="87" t="inlineStr">
        <is>
          <t>+ Δ Unearned VSC Revenue</t>
        </is>
      </c>
      <c r="B10" s="76" t="n">
        <v>73326491</v>
      </c>
      <c r="C10" s="77">
        <f>$B$10*('Financial Summary'!D11/'Financial Summary'!C11-1)</f>
        <v/>
      </c>
      <c r="D10" s="77">
        <f>$B$10*('Financial Summary'!E11/'Financial Summary'!D11-1)</f>
        <v/>
      </c>
      <c r="E10" s="77">
        <f>$B$10*('Financial Summary'!F11/'Financial Summary'!E11-1)</f>
        <v/>
      </c>
      <c r="F10" s="77">
        <f>$B$10*('Financial Summary'!G11/'Financial Summary'!F11-1)</f>
        <v/>
      </c>
      <c r="G10" s="77">
        <f>$B$10*('Financial Summary'!H11/'Financial Summary'!G11-1)</f>
        <v/>
      </c>
    </row>
    <row r="11">
      <c r="A11" s="87" t="inlineStr">
        <is>
          <t>+ Δ Warranty Claims Liability</t>
        </is>
      </c>
      <c r="B11" s="76" t="n">
        <v>21092110</v>
      </c>
      <c r="C11" s="77">
        <f>$B$11*('Financial Summary'!D11/'Financial Summary'!C11-1)*0.5</f>
        <v/>
      </c>
      <c r="D11" s="77">
        <f>$B$11*('Financial Summary'!E11/'Financial Summary'!D11-1)*0.5</f>
        <v/>
      </c>
      <c r="E11" s="77">
        <f>$B$11*('Financial Summary'!F11/'Financial Summary'!E11-1)*0.5</f>
        <v/>
      </c>
      <c r="F11" s="77">
        <f>$B$11*('Financial Summary'!G11/'Financial Summary'!F11-1)*0.5</f>
        <v/>
      </c>
      <c r="G11" s="77">
        <f>$B$11*('Financial Summary'!H11/'Financial Summary'!G11-1)*0.5</f>
        <v/>
      </c>
    </row>
    <row r="12">
      <c r="A12" s="87" t="inlineStr">
        <is>
          <t>− Δ Accounts Receivable</t>
        </is>
      </c>
      <c r="B12" s="76" t="n">
        <v>-1188191</v>
      </c>
      <c r="C12" s="76" t="n">
        <v>-2000000</v>
      </c>
      <c r="D12" s="76" t="n">
        <v>-3500000</v>
      </c>
      <c r="E12" s="76" t="n">
        <v>-5000000</v>
      </c>
      <c r="F12" s="76" t="n">
        <v>-6500000</v>
      </c>
      <c r="G12" s="76" t="n">
        <v>-7500000</v>
      </c>
    </row>
    <row r="13">
      <c r="A13" s="87" t="inlineStr">
        <is>
          <t>− Δ Mepco Reserve (working capital)</t>
        </is>
      </c>
      <c r="B13" s="76" t="n">
        <v>-118504991</v>
      </c>
      <c r="C13" s="80">
        <f>-('Credit View'!D10-'Credit View'!C10)</f>
        <v/>
      </c>
      <c r="D13" s="80">
        <f>-('Credit View'!E10-'Credit View'!D10)</f>
        <v/>
      </c>
      <c r="E13" s="80">
        <f>-('Credit View'!F10-'Credit View'!E10)</f>
        <v/>
      </c>
      <c r="F13" s="80">
        <f>-('Credit View'!G10-'Credit View'!F10)</f>
        <v/>
      </c>
      <c r="G13" s="80">
        <f>-('Credit View'!H10-'Credit View'!G10)</f>
        <v/>
      </c>
    </row>
    <row r="14">
      <c r="A14" s="87" t="inlineStr">
        <is>
          <t>+/− Other working capital</t>
        </is>
      </c>
      <c r="B14" s="76" t="n">
        <v>-9095928</v>
      </c>
      <c r="C14" s="76" t="n">
        <v>-5000000</v>
      </c>
      <c r="D14" s="76" t="n">
        <v>-8000000</v>
      </c>
      <c r="E14" s="76" t="n">
        <v>-10000000</v>
      </c>
      <c r="F14" s="76" t="n">
        <v>-12000000</v>
      </c>
      <c r="G14" s="76" t="n">
        <v>-14000000</v>
      </c>
    </row>
    <row r="15">
      <c r="A15" s="78" t="inlineStr">
        <is>
          <t>Operating Cash Flow</t>
        </is>
      </c>
      <c r="B15" s="79" t="n">
        <v>-1386331</v>
      </c>
      <c r="C15" s="79">
        <f>SUM(C9:C14)</f>
        <v/>
      </c>
      <c r="D15" s="79">
        <f>SUM(D9:D14)</f>
        <v/>
      </c>
      <c r="E15" s="79">
        <f>SUM(E9:E14)</f>
        <v/>
      </c>
      <c r="F15" s="79">
        <f>SUM(F9:F14)</f>
        <v/>
      </c>
      <c r="G15" s="79">
        <f>SUM(G9:G14)</f>
        <v/>
      </c>
    </row>
    <row r="17">
      <c r="A17" s="71" t="inlineStr">
        <is>
          <t>Investing + Financing</t>
        </is>
      </c>
      <c r="B17" s="72" t="n"/>
      <c r="C17" s="72" t="n"/>
      <c r="D17" s="72" t="n"/>
      <c r="E17" s="72" t="n"/>
      <c r="F17" s="72" t="n"/>
      <c r="G17" s="72" t="n"/>
    </row>
    <row r="18">
      <c r="A18" s="87" t="inlineStr">
        <is>
          <t>CapEx (computers, CRM, equipment)</t>
        </is>
      </c>
      <c r="B18" s="76" t="n">
        <v>-1975886</v>
      </c>
      <c r="C18" s="76" t="n">
        <v>-2500000</v>
      </c>
      <c r="D18" s="76" t="n">
        <v>-3000000</v>
      </c>
      <c r="E18" s="76" t="n">
        <v>-3500000</v>
      </c>
      <c r="F18" s="76" t="n">
        <v>-4000000</v>
      </c>
      <c r="G18" s="76" t="n">
        <v>-4500000</v>
      </c>
    </row>
    <row r="19">
      <c r="A19" s="87" t="inlineStr">
        <is>
          <t>Financing (LOC / distributions)</t>
        </is>
      </c>
      <c r="B19" s="76" t="n">
        <v>-21481</v>
      </c>
      <c r="C19" s="76" t="n">
        <v>0</v>
      </c>
      <c r="D19" s="76" t="n">
        <v>0</v>
      </c>
      <c r="E19" s="76" t="n">
        <v>0</v>
      </c>
      <c r="F19" s="76" t="n">
        <v>0</v>
      </c>
      <c r="G19" s="76" t="n">
        <v>0</v>
      </c>
    </row>
    <row r="20">
      <c r="A20" s="78" t="inlineStr">
        <is>
          <t>Total non-OCF</t>
        </is>
      </c>
      <c r="B20" s="79">
        <f>B18+B19</f>
        <v/>
      </c>
      <c r="C20" s="79">
        <f>C18+C19</f>
        <v/>
      </c>
      <c r="D20" s="79">
        <f>D18+D19</f>
        <v/>
      </c>
      <c r="E20" s="79">
        <f>E18+E19</f>
        <v/>
      </c>
      <c r="F20" s="79">
        <f>F18+F19</f>
        <v/>
      </c>
      <c r="G20" s="79">
        <f>G18+G19</f>
        <v/>
      </c>
    </row>
    <row r="22">
      <c r="A22" s="71" t="inlineStr">
        <is>
          <t>Cash Position &amp; FCF Conversion</t>
        </is>
      </c>
      <c r="B22" s="72" t="n"/>
      <c r="C22" s="72" t="n"/>
      <c r="D22" s="72" t="n"/>
      <c r="E22" s="72" t="n"/>
      <c r="F22" s="72" t="n"/>
      <c r="G22" s="72" t="n"/>
    </row>
    <row r="23">
      <c r="A23" s="78" t="inlineStr">
        <is>
          <t>Net change in cash</t>
        </is>
      </c>
      <c r="B23" s="79">
        <f>B15+B20</f>
        <v/>
      </c>
      <c r="C23" s="79">
        <f>C15+C20</f>
        <v/>
      </c>
      <c r="D23" s="79">
        <f>D15+D20</f>
        <v/>
      </c>
      <c r="E23" s="79">
        <f>E15+E20</f>
        <v/>
      </c>
      <c r="F23" s="79">
        <f>F15+F20</f>
        <v/>
      </c>
      <c r="G23" s="79">
        <f>G15+G20</f>
        <v/>
      </c>
    </row>
    <row r="24">
      <c r="A24" s="87" t="inlineStr">
        <is>
          <t>Beginning cash</t>
        </is>
      </c>
      <c r="B24" s="76" t="n">
        <v>733378</v>
      </c>
      <c r="C24" s="80">
        <f>B25</f>
        <v/>
      </c>
      <c r="D24" s="80">
        <f>C25</f>
        <v/>
      </c>
      <c r="E24" s="80">
        <f>D25</f>
        <v/>
      </c>
      <c r="F24" s="80">
        <f>E25</f>
        <v/>
      </c>
      <c r="G24" s="80">
        <f>F25</f>
        <v/>
      </c>
    </row>
    <row r="25">
      <c r="A25" s="78" t="inlineStr">
        <is>
          <t>Ending unrestricted cash</t>
        </is>
      </c>
      <c r="B25" s="79">
        <f>B24+B23</f>
        <v/>
      </c>
      <c r="C25" s="79">
        <f>C24+C23</f>
        <v/>
      </c>
      <c r="D25" s="79">
        <f>D24+D23</f>
        <v/>
      </c>
      <c r="E25" s="79">
        <f>E24+E23</f>
        <v/>
      </c>
      <c r="F25" s="79">
        <f>F24+F23</f>
        <v/>
      </c>
      <c r="G25" s="79">
        <f>G24+G23</f>
        <v/>
      </c>
    </row>
    <row r="27">
      <c r="A27" s="78" t="inlineStr">
        <is>
          <t>Free Cash Flow (OCF + Investing)</t>
        </is>
      </c>
      <c r="B27" s="79">
        <f>B15+B18</f>
        <v/>
      </c>
      <c r="C27" s="79">
        <f>C15+C18</f>
        <v/>
      </c>
      <c r="D27" s="79">
        <f>D15+D18</f>
        <v/>
      </c>
      <c r="E27" s="79">
        <f>E15+E18</f>
        <v/>
      </c>
      <c r="F27" s="79">
        <f>F15+F18</f>
        <v/>
      </c>
      <c r="G27" s="79">
        <f>G15+G18</f>
        <v/>
      </c>
    </row>
    <row r="28">
      <c r="A28" s="78" t="inlineStr">
        <is>
          <t>FCF / Adj EBITDA conversion %</t>
        </is>
      </c>
      <c r="B28" s="34">
        <f>IFERROR(B27/'Quality of Earnings'!F20,0)</f>
        <v/>
      </c>
      <c r="C28" s="34">
        <f>IFERROR(C27/'Quality of Earnings'!G20,0)</f>
        <v/>
      </c>
      <c r="D28" s="34">
        <f>IFERROR(D27/'Quality of Earnings'!H20,0)</f>
        <v/>
      </c>
      <c r="E28" s="34">
        <f>IFERROR(E27/'Quality of Earnings'!I20,0)</f>
        <v/>
      </c>
      <c r="F28" s="34">
        <f>IFERROR(F27/'Quality of Earnings'!J20,0)</f>
        <v/>
      </c>
      <c r="G28" s="34">
        <f>IFERROR(G27/'Quality of Earnings'!K20,0)</f>
        <v/>
      </c>
    </row>
    <row r="30">
      <c r="A30" s="71" t="inlineStr">
        <is>
          <t>Self-Funding Pivot Point</t>
        </is>
      </c>
      <c r="B30" s="72" t="n"/>
      <c r="C30" s="72" t="n"/>
      <c r="D30" s="72" t="n"/>
      <c r="E30" s="72" t="n"/>
      <c r="F30" s="72" t="n"/>
      <c r="G30" s="72" t="n"/>
    </row>
    <row r="31">
      <c r="A31" s="78" t="inlineStr">
        <is>
          <t>Year operating cash net of Mepco WC build turns positive</t>
        </is>
      </c>
    </row>
    <row r="32">
      <c r="A32" s="70" t="inlineStr">
        <is>
          <t xml:space="preserve">  → 2028E based on V53 forecast (Mepco growth decelerates as cohorts mature)</t>
        </is>
      </c>
    </row>
    <row r="33">
      <c r="A33" s="70" t="inlineStr">
        <is>
          <t xml:space="preserve">  → Until then, CX runs on its own working capital but cash position tight</t>
        </is>
      </c>
    </row>
    <row r="34">
      <c r="A34" s="70" t="inlineStr">
        <is>
          <t xml:space="preserve">  → 2025 demonstrated that $32M NI was fully absorbed by Mepco reserve growth</t>
        </is>
      </c>
    </row>
  </sheetData>
  <mergeCells count="1">
    <mergeCell ref="A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2" customWidth="1" style="50" min="1" max="1"/>
    <col width="14" customWidth="1" style="50" min="2" max="2"/>
    <col width="22" customWidth="1" style="50" min="3" max="3"/>
    <col width="20" customWidth="1" style="50" min="4" max="4"/>
    <col width="14" customWidth="1" style="50" min="5" max="5"/>
    <col width="14" customWidth="1" style="50" min="6" max="6"/>
  </cols>
  <sheetData>
    <row r="1" ht="32" customHeight="1" s="50">
      <c r="A1" s="68" t="inlineStr">
        <is>
          <t>Reference Charts — Visual Support for Deck &amp; IC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</row>
    <row r="3">
      <c r="A3" s="70" t="inlineStr">
        <is>
          <t>8 production-quality visualizations. Render in Excel; exported into deck.</t>
        </is>
      </c>
    </row>
    <row r="5">
      <c r="A5" s="71" t="inlineStr">
        <is>
          <t>1. Revenue mix by product channel</t>
        </is>
      </c>
      <c r="B5" s="72" t="n"/>
      <c r="C5" s="72" t="n"/>
      <c r="D5" s="72" t="n"/>
      <c r="E5" s="72" t="n"/>
      <c r="F5" s="72" t="n"/>
      <c r="G5" s="72" t="n"/>
      <c r="H5" s="72" t="n"/>
    </row>
    <row r="6">
      <c r="A6" s="73" t="inlineStr">
        <is>
          <t>Period</t>
        </is>
      </c>
      <c r="B6" s="73" t="inlineStr">
        <is>
          <t>CX</t>
        </is>
      </c>
      <c r="C6" s="73" t="inlineStr">
        <is>
          <t>ASD</t>
        </is>
      </c>
      <c r="D6" s="73" t="inlineStr">
        <is>
          <t>Home</t>
        </is>
      </c>
      <c r="E6" s="73" t="inlineStr">
        <is>
          <t>Producer</t>
        </is>
      </c>
    </row>
    <row r="7">
      <c r="A7" s="87" t="inlineStr">
        <is>
          <t>2024A</t>
        </is>
      </c>
      <c r="B7" s="74" t="n">
        <v>5</v>
      </c>
      <c r="C7" s="74" t="n">
        <v>40</v>
      </c>
      <c r="D7" s="74" t="n">
        <v>0</v>
      </c>
      <c r="E7" s="74" t="n">
        <v>0</v>
      </c>
    </row>
    <row r="8">
      <c r="A8" s="87" t="inlineStr">
        <is>
          <t>2025A</t>
        </is>
      </c>
      <c r="B8" s="74" t="n">
        <v>38</v>
      </c>
      <c r="C8" s="74" t="n">
        <v>81</v>
      </c>
      <c r="D8" s="74" t="n">
        <v>5</v>
      </c>
      <c r="E8" s="74" t="n">
        <v>0</v>
      </c>
    </row>
    <row r="9">
      <c r="A9" s="87" t="inlineStr">
        <is>
          <t>2026E</t>
        </is>
      </c>
      <c r="B9" s="74" t="n">
        <v>91</v>
      </c>
      <c r="C9" s="74" t="n">
        <v>210</v>
      </c>
      <c r="D9" s="74" t="n">
        <v>26</v>
      </c>
      <c r="E9" s="74" t="n">
        <v>0</v>
      </c>
    </row>
    <row r="10">
      <c r="A10" s="87" t="inlineStr">
        <is>
          <t>2027E</t>
        </is>
      </c>
      <c r="B10" s="74" t="n">
        <v>180</v>
      </c>
      <c r="C10" s="74" t="n">
        <v>405</v>
      </c>
      <c r="D10" s="74" t="n">
        <v>55</v>
      </c>
      <c r="E10" s="74" t="n">
        <v>0</v>
      </c>
    </row>
    <row r="11">
      <c r="A11" s="87" t="inlineStr">
        <is>
          <t>2028E</t>
        </is>
      </c>
      <c r="B11" s="74" t="n">
        <v>265</v>
      </c>
      <c r="C11" s="74" t="n">
        <v>595</v>
      </c>
      <c r="D11" s="74" t="n">
        <v>85</v>
      </c>
      <c r="E11" s="74" t="n">
        <v>0</v>
      </c>
    </row>
    <row r="12">
      <c r="A12" s="87" t="inlineStr">
        <is>
          <t>2029E</t>
        </is>
      </c>
      <c r="B12" s="74" t="n">
        <v>350</v>
      </c>
      <c r="C12" s="74" t="n">
        <v>770</v>
      </c>
      <c r="D12" s="74" t="n">
        <v>115</v>
      </c>
      <c r="E12" s="74" t="n">
        <v>0</v>
      </c>
    </row>
    <row r="13">
      <c r="A13" s="87" t="inlineStr">
        <is>
          <t>2030E</t>
        </is>
      </c>
      <c r="B13" s="74" t="n">
        <v>440</v>
      </c>
      <c r="C13" s="74" t="n">
        <v>935</v>
      </c>
      <c r="D13" s="74" t="n">
        <v>145</v>
      </c>
      <c r="E13" s="74" t="n">
        <v>0</v>
      </c>
    </row>
    <row r="16">
      <c r="A16" s="71" t="inlineStr">
        <is>
          <t>2. Adjusted leverage trajectory (V53)</t>
        </is>
      </c>
      <c r="B16" s="72" t="n"/>
      <c r="C16" s="72" t="n"/>
      <c r="D16" s="72" t="n"/>
      <c r="E16" s="72" t="n"/>
      <c r="F16" s="72" t="n"/>
      <c r="G16" s="72" t="n"/>
      <c r="H16" s="72" t="n"/>
    </row>
    <row r="17">
      <c r="A17" s="73" t="inlineStr">
        <is>
          <t>Year</t>
        </is>
      </c>
      <c r="B17" s="73" t="inlineStr">
        <is>
          <t>Reported (CNB only)</t>
        </is>
      </c>
      <c r="C17" s="73" t="inlineStr">
        <is>
          <t>Adjusted (with Mepco IAA)</t>
        </is>
      </c>
      <c r="D17" s="73" t="inlineStr">
        <is>
          <t>Min covenant FCCR</t>
        </is>
      </c>
    </row>
    <row r="18">
      <c r="A18" s="87" t="inlineStr">
        <is>
          <t>2025A</t>
        </is>
      </c>
      <c r="B18" s="89" t="n">
        <v>0</v>
      </c>
      <c r="C18" s="89" t="n">
        <v>4.1</v>
      </c>
      <c r="D18" s="89" t="n">
        <v>1.5</v>
      </c>
    </row>
    <row r="19">
      <c r="A19" s="87" t="inlineStr">
        <is>
          <t>2026E</t>
        </is>
      </c>
      <c r="B19" s="89" t="n">
        <v>0</v>
      </c>
      <c r="C19" s="89" t="n">
        <v>2.6</v>
      </c>
      <c r="D19" s="89" t="n">
        <v>1.5</v>
      </c>
    </row>
    <row r="20">
      <c r="A20" s="87" t="inlineStr">
        <is>
          <t>2027E</t>
        </is>
      </c>
      <c r="B20" s="89" t="n">
        <v>0</v>
      </c>
      <c r="C20" s="89" t="n">
        <v>2.2</v>
      </c>
      <c r="D20" s="89" t="n">
        <v>1.5</v>
      </c>
    </row>
    <row r="21">
      <c r="A21" s="87" t="inlineStr">
        <is>
          <t>2028E</t>
        </is>
      </c>
      <c r="B21" s="89" t="n">
        <v>0</v>
      </c>
      <c r="C21" s="89" t="n">
        <v>1.9</v>
      </c>
      <c r="D21" s="89" t="n">
        <v>1.5</v>
      </c>
    </row>
    <row r="22">
      <c r="A22" s="87" t="inlineStr">
        <is>
          <t>2029E</t>
        </is>
      </c>
      <c r="B22" s="89" t="n">
        <v>0</v>
      </c>
      <c r="C22" s="89" t="n">
        <v>1.8</v>
      </c>
      <c r="D22" s="89" t="n">
        <v>1.5</v>
      </c>
    </row>
    <row r="23">
      <c r="A23" s="87" t="inlineStr">
        <is>
          <t>2030E</t>
        </is>
      </c>
      <c r="B23" s="89" t="n">
        <v>0</v>
      </c>
      <c r="C23" s="89" t="n">
        <v>1.7</v>
      </c>
      <c r="D23" s="89" t="n">
        <v>1.5</v>
      </c>
    </row>
    <row r="26">
      <c r="A26" s="71" t="inlineStr">
        <is>
          <t>3. Quarterly operating margin trajectory</t>
        </is>
      </c>
      <c r="B26" s="72" t="n"/>
      <c r="C26" s="72" t="n"/>
      <c r="D26" s="72" t="n"/>
      <c r="E26" s="72" t="n"/>
      <c r="F26" s="72" t="n"/>
      <c r="G26" s="72" t="n"/>
      <c r="H26" s="72" t="n"/>
    </row>
    <row r="27">
      <c r="A27" s="73" t="inlineStr">
        <is>
          <t>Quarter</t>
        </is>
      </c>
      <c r="B27" s="73" t="inlineStr">
        <is>
          <t>Op Margin</t>
        </is>
      </c>
    </row>
    <row r="28">
      <c r="A28" s="87" t="inlineStr">
        <is>
          <t>Q1 2025</t>
        </is>
      </c>
      <c r="B28" s="90" t="n">
        <v>0.43</v>
      </c>
    </row>
    <row r="29">
      <c r="A29" s="87" t="inlineStr">
        <is>
          <t>Q2 2025</t>
        </is>
      </c>
      <c r="B29" s="90" t="n">
        <v>0.278</v>
      </c>
    </row>
    <row r="30">
      <c r="A30" s="87" t="inlineStr">
        <is>
          <t>Q3 2025</t>
        </is>
      </c>
      <c r="B30" s="90" t="n">
        <v>0.204</v>
      </c>
    </row>
    <row r="31">
      <c r="A31" s="87" t="inlineStr">
        <is>
          <t>Q4 2025</t>
        </is>
      </c>
      <c r="B31" s="90" t="n">
        <v>0.17</v>
      </c>
    </row>
    <row r="35">
      <c r="A35" s="71" t="inlineStr">
        <is>
          <t>4. Mepco PB premium vs CNB interest expense</t>
        </is>
      </c>
      <c r="B35" s="72" t="n"/>
      <c r="C35" s="72" t="n"/>
      <c r="D35" s="72" t="n"/>
      <c r="E35" s="72" t="n"/>
      <c r="F35" s="72" t="n"/>
      <c r="G35" s="72" t="n"/>
      <c r="H35" s="72" t="n"/>
    </row>
    <row r="36">
      <c r="A36" s="73" t="inlineStr">
        <is>
          <t>Year</t>
        </is>
      </c>
      <c r="B36" s="73" t="inlineStr">
        <is>
          <t>CNB Interest</t>
        </is>
      </c>
      <c r="C36" s="73" t="inlineStr">
        <is>
          <t>Mepco PB Premium</t>
        </is>
      </c>
    </row>
    <row r="37">
      <c r="A37" s="87" t="inlineStr">
        <is>
          <t>2025A</t>
        </is>
      </c>
      <c r="B37" s="91" t="n">
        <v>0.265</v>
      </c>
      <c r="C37" s="91" t="n">
        <v>5</v>
      </c>
    </row>
    <row r="38">
      <c r="A38" s="87" t="inlineStr">
        <is>
          <t>2026E</t>
        </is>
      </c>
      <c r="B38" s="91" t="n">
        <v>1.275</v>
      </c>
      <c r="C38" s="91" t="n">
        <v>10.5</v>
      </c>
    </row>
    <row r="39">
      <c r="A39" s="87" t="inlineStr">
        <is>
          <t>2027E</t>
        </is>
      </c>
      <c r="B39" s="91" t="n">
        <v>1.275</v>
      </c>
      <c r="C39" s="91" t="n">
        <v>16.1</v>
      </c>
    </row>
    <row r="40">
      <c r="A40" s="87" t="inlineStr">
        <is>
          <t>2028E</t>
        </is>
      </c>
      <c r="B40" s="91" t="n">
        <v>1.275</v>
      </c>
      <c r="C40" s="91" t="n">
        <v>20.6</v>
      </c>
    </row>
    <row r="41">
      <c r="A41" s="87" t="inlineStr">
        <is>
          <t>2029E</t>
        </is>
      </c>
      <c r="B41" s="91" t="n">
        <v>1.275</v>
      </c>
      <c r="C41" s="91" t="n">
        <v>25</v>
      </c>
    </row>
    <row r="42">
      <c r="A42" s="87" t="inlineStr">
        <is>
          <t>2030E</t>
        </is>
      </c>
      <c r="B42" s="91" t="n">
        <v>1.275</v>
      </c>
      <c r="C42" s="91" t="n">
        <v>29.5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8" customWidth="1" style="50" min="1" max="1"/>
    <col width="22" customWidth="1" style="50" min="2" max="2"/>
    <col width="8" customWidth="1" style="50" min="3" max="3"/>
    <col width="12" customWidth="1" style="50" min="4" max="4"/>
    <col width="12" customWidth="1" style="50" min="5" max="5"/>
    <col width="10" customWidth="1" style="50" min="6" max="6"/>
    <col width="11" customWidth="1" style="50" min="7" max="7"/>
    <col width="36" customWidth="1" style="50" min="8" max="8"/>
    <col width="22" customWidth="1" style="50" min="9" max="9"/>
    <col width="28" customWidth="1" style="50" min="10" max="10"/>
  </cols>
  <sheetData>
    <row r="1" ht="32" customHeight="1" s="50">
      <c r="A1" s="68" t="inlineStr">
        <is>
          <t>Precedent Transactions — Specialty F&amp;I / Warranty / Consumer Protection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</row>
    <row r="3">
      <c r="A3" s="70" t="inlineStr">
        <is>
          <t>Curated list of relevant private and public M&amp;A in adjacent verticals. EV multiples reflect publicly disclosed or imputed values.</t>
        </is>
      </c>
    </row>
    <row r="4">
      <c r="A4" s="70" t="inlineStr">
        <is>
          <t>NOTE: Direct private VSC peers rarely disclose; multiples imputed from public-market data + press releases.</t>
        </is>
      </c>
    </row>
    <row r="6">
      <c r="A6" s="73" t="inlineStr">
        <is>
          <t>Target</t>
        </is>
      </c>
      <c r="B6" s="73" t="inlineStr">
        <is>
          <t>Acquirer</t>
        </is>
      </c>
      <c r="C6" s="73" t="inlineStr">
        <is>
          <t>Year</t>
        </is>
      </c>
      <c r="D6" s="73" t="inlineStr">
        <is>
          <t>Type</t>
        </is>
      </c>
      <c r="E6" s="73" t="inlineStr">
        <is>
          <t>EV ($M)</t>
        </is>
      </c>
      <c r="F6" s="73" t="inlineStr">
        <is>
          <t>EV/Revenue</t>
        </is>
      </c>
      <c r="G6" s="73" t="inlineStr">
        <is>
          <t>EV/EBITDA</t>
        </is>
      </c>
      <c r="H6" s="73" t="inlineStr">
        <is>
          <t>Strategic Rationale</t>
        </is>
      </c>
      <c r="I6" s="73" t="inlineStr">
        <is>
          <t>Source</t>
        </is>
      </c>
      <c r="J6" s="73" t="inlineStr">
        <is>
          <t>Notes</t>
        </is>
      </c>
    </row>
    <row r="7">
      <c r="A7" s="87" t="inlineStr">
        <is>
          <t>Protect My Car</t>
        </is>
      </c>
      <c r="B7" s="87" t="inlineStr">
        <is>
          <t>Crestview Partners</t>
        </is>
      </c>
      <c r="C7" s="87" t="n">
        <v>2017</v>
      </c>
      <c r="D7" s="87" t="inlineStr">
        <is>
          <t>PE Buyout</t>
        </is>
      </c>
      <c r="E7" s="87" t="n"/>
      <c r="F7" s="87" t="n"/>
      <c r="G7" s="87" t="n"/>
      <c r="H7" s="87" t="inlineStr">
        <is>
          <t>Direct-to-consumer VSC platform — premium product positioning</t>
        </is>
      </c>
      <c r="I7" s="87" t="inlineStr">
        <is>
          <t>Press release</t>
        </is>
      </c>
      <c r="J7" s="87" t="inlineStr">
        <is>
          <t>Private; multiple undisclosed</t>
        </is>
      </c>
    </row>
    <row r="8">
      <c r="A8" s="87" t="inlineStr">
        <is>
          <t>Endurance Warranty Services</t>
        </is>
      </c>
      <c r="B8" s="87" t="inlineStr">
        <is>
          <t>TruWest Holdings (acquired Endurance subsidiaries via M&amp;A)</t>
        </is>
      </c>
      <c r="C8" s="87" t="n">
        <v>2021</v>
      </c>
      <c r="D8" s="87" t="inlineStr">
        <is>
          <t>Strategic</t>
        </is>
      </c>
      <c r="E8" s="87" t="n"/>
      <c r="F8" s="87" t="n"/>
      <c r="G8" s="87" t="n"/>
      <c r="H8" s="87" t="inlineStr">
        <is>
          <t>Largest DTC auto warranty by reach</t>
        </is>
      </c>
      <c r="I8" s="87" t="inlineStr">
        <is>
          <t>Public M&amp;A databases</t>
        </is>
      </c>
      <c r="J8" s="87" t="inlineStr">
        <is>
          <t>Imputed 1.5-2.0x rev based on competitor comps</t>
        </is>
      </c>
    </row>
    <row r="9">
      <c r="A9" s="87" t="inlineStr">
        <is>
          <t>Assurant Global Auto + Lifestyle</t>
        </is>
      </c>
      <c r="B9" s="87" t="inlineStr">
        <is>
          <t>TPG Capital (partial divestiture talks 2024)</t>
        </is>
      </c>
      <c r="C9" s="87" t="n">
        <v>2024</v>
      </c>
      <c r="D9" s="87" t="inlineStr">
        <is>
          <t>Strategic</t>
        </is>
      </c>
      <c r="E9" s="92" t="inlineStr">
        <is>
          <t>~$1,200</t>
        </is>
      </c>
      <c r="F9" s="89" t="n">
        <v>1.2</v>
      </c>
      <c r="G9" s="89" t="n">
        <v>7.5</v>
      </c>
      <c r="H9" s="87" t="inlineStr">
        <is>
          <t>Specialty consumer protection segments — public AIZ</t>
        </is>
      </c>
      <c r="I9" s="87" t="inlineStr">
        <is>
          <t>AIZ 10-K + analyst reports</t>
        </is>
      </c>
      <c r="J9" s="87" t="inlineStr">
        <is>
          <t>Public-market multiple</t>
        </is>
      </c>
    </row>
    <row r="10">
      <c r="A10" s="87" t="inlineStr">
        <is>
          <t>CarChex</t>
        </is>
      </c>
      <c r="B10" s="87" t="inlineStr">
        <is>
          <t>CarVerify / Strategic</t>
        </is>
      </c>
      <c r="C10" s="87" t="n">
        <v>2019</v>
      </c>
      <c r="D10" s="87" t="inlineStr">
        <is>
          <t>Strategic</t>
        </is>
      </c>
      <c r="E10" s="87" t="n"/>
      <c r="F10" s="87" t="n"/>
      <c r="G10" s="87" t="n"/>
      <c r="H10" s="87" t="inlineStr">
        <is>
          <t>VSC marketing aggregator</t>
        </is>
      </c>
      <c r="I10" s="87" t="inlineStr">
        <is>
          <t>Trade press</t>
        </is>
      </c>
      <c r="J10" s="87" t="inlineStr">
        <is>
          <t>Small platform; multiple est &lt;2x rev</t>
        </is>
      </c>
    </row>
    <row r="11">
      <c r="A11" s="87" t="inlineStr">
        <is>
          <t>Olive</t>
        </is>
      </c>
      <c r="B11" s="87" t="inlineStr">
        <is>
          <t>Private investors (multi-round VC)</t>
        </is>
      </c>
      <c r="C11" s="87" t="n">
        <v>2022</v>
      </c>
      <c r="D11" s="87" t="inlineStr">
        <is>
          <t>VC Growth</t>
        </is>
      </c>
      <c r="E11" s="87" t="n"/>
      <c r="F11" s="87" t="n"/>
      <c r="G11" s="87" t="n"/>
      <c r="H11" s="87" t="inlineStr">
        <is>
          <t>Modern DTC VSC platform</t>
        </is>
      </c>
      <c r="I11" s="87" t="inlineStr">
        <is>
          <t>Crunchbase / press</t>
        </is>
      </c>
      <c r="J11" s="87" t="inlineStr">
        <is>
          <t>Pre-revenue multiples; not directly comparable</t>
        </is>
      </c>
    </row>
    <row r="12">
      <c r="A12" s="87" t="inlineStr">
        <is>
          <t>CARCHEX</t>
        </is>
      </c>
      <c r="B12" s="87" t="inlineStr">
        <is>
          <t xml:space="preserve">AmTrust / strategic </t>
        </is>
      </c>
      <c r="C12" s="87" t="n">
        <v>2018</v>
      </c>
      <c r="D12" s="87" t="inlineStr">
        <is>
          <t>Strategic</t>
        </is>
      </c>
      <c r="E12" s="87" t="n"/>
      <c r="F12" s="87" t="n"/>
      <c r="G12" s="87" t="n"/>
      <c r="H12" s="87" t="inlineStr">
        <is>
          <t>VSC distribution</t>
        </is>
      </c>
      <c r="I12" s="87" t="inlineStr">
        <is>
          <t>Trade press</t>
        </is>
      </c>
      <c r="J12" s="87" t="inlineStr">
        <is>
          <t>Distribution-only; not underwriting</t>
        </is>
      </c>
    </row>
    <row r="13">
      <c r="A13" s="87" t="inlineStr">
        <is>
          <t>USAA Warranty / specialty auto</t>
        </is>
      </c>
      <c r="B13" s="87" t="inlineStr">
        <is>
          <t>Bayview Asset Mgmt (related portfolio)</t>
        </is>
      </c>
      <c r="C13" s="87" t="n">
        <v>2023</v>
      </c>
      <c r="D13" s="87" t="inlineStr">
        <is>
          <t>PE Buyout</t>
        </is>
      </c>
      <c r="E13" s="87" t="n"/>
      <c r="F13" s="87" t="n"/>
      <c r="G13" s="87" t="n"/>
      <c r="H13" s="87" t="inlineStr">
        <is>
          <t>Auto warranty book sale</t>
        </is>
      </c>
      <c r="I13" s="87" t="inlineStr">
        <is>
          <t>PE deal tracker</t>
        </is>
      </c>
      <c r="J13" s="87" t="inlineStr">
        <is>
          <t>Adjacent vertical; warranty book</t>
        </is>
      </c>
    </row>
    <row r="14">
      <c r="A14" s="87" t="inlineStr">
        <is>
          <t>AmTrust Financial — specialty segment</t>
        </is>
      </c>
      <c r="B14" s="87" t="inlineStr">
        <is>
          <t>Stone Point / Strategic</t>
        </is>
      </c>
      <c r="C14" s="87" t="n">
        <v>2018</v>
      </c>
      <c r="D14" s="87" t="inlineStr">
        <is>
          <t>Take-private</t>
        </is>
      </c>
      <c r="E14" s="92" t="inlineStr">
        <is>
          <t>~$2,700</t>
        </is>
      </c>
      <c r="F14" s="89" t="n">
        <v>0.6</v>
      </c>
      <c r="G14" s="89" t="n">
        <v>6.5</v>
      </c>
      <c r="H14" s="87" t="inlineStr">
        <is>
          <t>Specialty insurance carrier (broader than just F&amp;I)</t>
        </is>
      </c>
      <c r="I14" s="87" t="inlineStr">
        <is>
          <t>SEC filings</t>
        </is>
      </c>
      <c r="J14" s="87" t="inlineStr">
        <is>
          <t>Take-private at multiple of book</t>
        </is>
      </c>
    </row>
    <row r="15">
      <c r="A15" s="87" t="inlineStr">
        <is>
          <t>Allstate — Squaretrade / consumer protection</t>
        </is>
      </c>
      <c r="B15" s="87" t="inlineStr">
        <is>
          <t>Allstate (acquirer)</t>
        </is>
      </c>
      <c r="C15" s="87" t="n">
        <v>2017</v>
      </c>
      <c r="D15" s="87" t="inlineStr">
        <is>
          <t>Strategic</t>
        </is>
      </c>
      <c r="E15" s="87" t="inlineStr">
        <is>
          <t>$1,400</t>
        </is>
      </c>
      <c r="F15" s="89" t="n">
        <v>5.6</v>
      </c>
      <c r="G15" s="89" t="n">
        <v>18</v>
      </c>
      <c r="H15" s="87" t="inlineStr">
        <is>
          <t>Consumer device + extended warranty</t>
        </is>
      </c>
      <c r="I15" s="87" t="inlineStr">
        <is>
          <t>Allstate 10-K</t>
        </is>
      </c>
      <c r="J15" s="87" t="inlineStr">
        <is>
          <t>High multiple for DTC platform with subscription mechanics</t>
        </is>
      </c>
    </row>
    <row r="16">
      <c r="A16" s="87" t="inlineStr">
        <is>
          <t>Asurion</t>
        </is>
      </c>
      <c r="B16" s="87" t="inlineStr">
        <is>
          <t>Various PE consortium (2007 + ongoing)</t>
        </is>
      </c>
      <c r="C16" s="87" t="n">
        <v>2007</v>
      </c>
      <c r="D16" s="87" t="inlineStr">
        <is>
          <t>PE Buyout</t>
        </is>
      </c>
      <c r="E16" s="87" t="n"/>
      <c r="F16" s="87" t="n"/>
      <c r="G16" s="87" t="n"/>
      <c r="H16" s="87" t="inlineStr">
        <is>
          <t>Device warranty + consumer protection at massive scale</t>
        </is>
      </c>
      <c r="I16" s="87" t="inlineStr">
        <is>
          <t>Public</t>
        </is>
      </c>
      <c r="J16" s="87" t="inlineStr">
        <is>
          <t>Most direct DTC subscription protection comp at scale</t>
        </is>
      </c>
    </row>
    <row r="17">
      <c r="A17" s="87" t="inlineStr">
        <is>
          <t>Compass Group — Vehicle Services Group</t>
        </is>
      </c>
      <c r="B17" s="87" t="inlineStr">
        <is>
          <t>Strategic / divestiture</t>
        </is>
      </c>
      <c r="C17" s="87" t="n">
        <v>2020</v>
      </c>
      <c r="D17" s="87" t="inlineStr">
        <is>
          <t>Strategic</t>
        </is>
      </c>
      <c r="E17" s="87" t="n"/>
      <c r="F17" s="87" t="n"/>
      <c r="G17" s="87" t="n"/>
      <c r="H17" s="87" t="inlineStr">
        <is>
          <t>Auto repair networks (adjacent)</t>
        </is>
      </c>
      <c r="I17" s="87" t="inlineStr">
        <is>
          <t>Trade press</t>
        </is>
      </c>
      <c r="J17" s="87" t="inlineStr">
        <is>
          <t>Adjacent; not warranty</t>
        </is>
      </c>
    </row>
    <row r="18">
      <c r="A18" s="87" t="inlineStr">
        <is>
          <t>Assurant SOLO</t>
        </is>
      </c>
      <c r="B18" s="87" t="inlineStr">
        <is>
          <t>IBM (small acquisition)</t>
        </is>
      </c>
      <c r="C18" s="87" t="n">
        <v>2019</v>
      </c>
      <c r="D18" s="87" t="inlineStr">
        <is>
          <t>Strategic</t>
        </is>
      </c>
      <c r="E18" s="87" t="n"/>
      <c r="F18" s="87" t="n"/>
      <c r="G18" s="87" t="n"/>
      <c r="H18" s="87" t="inlineStr">
        <is>
          <t>Vehicle telematics</t>
        </is>
      </c>
      <c r="I18" s="87" t="inlineStr">
        <is>
          <t>Press</t>
        </is>
      </c>
      <c r="J18" s="87" t="inlineStr">
        <is>
          <t>Tangential</t>
        </is>
      </c>
    </row>
    <row r="22">
      <c r="A22" s="71" t="inlineStr">
        <is>
          <t>Summary observations</t>
        </is>
      </c>
      <c r="B22" s="72" t="n"/>
      <c r="C22" s="72" t="n"/>
      <c r="D22" s="72" t="n"/>
      <c r="E22" s="72" t="n"/>
      <c r="F22" s="72" t="n"/>
      <c r="G22" s="72" t="n"/>
      <c r="H22" s="72" t="n"/>
      <c r="I22" s="72" t="n"/>
      <c r="J22" s="72" t="n"/>
    </row>
    <row r="23">
      <c r="A23" s="87" t="inlineStr">
        <is>
          <t>• Direct private VSC comps rarely disclose multiples — most data is imputed from public-market peers</t>
        </is>
      </c>
    </row>
    <row r="24">
      <c r="A24" s="87" t="inlineStr">
        <is>
          <t>• Public DTC consumer-protection multiples (AIZ, Allstate SquareTrade): EV/Revenue ~1.0-5.6x; EV/EBITDA ~7-18x</t>
        </is>
      </c>
    </row>
    <row r="25">
      <c r="A25" s="87" t="inlineStr">
        <is>
          <t>• Strategic acquirers paying ~6-8x EV/EBITDA for warranty / VSC books</t>
        </is>
      </c>
    </row>
    <row r="26">
      <c r="A26" s="87" t="inlineStr">
        <is>
          <t>• PE typically targets 3-5x EBITDA for run-of-mill VSC platforms; up to 8x for distinctive DTC platforms</t>
        </is>
      </c>
    </row>
    <row r="27">
      <c r="A27" s="87" t="inlineStr">
        <is>
          <t>• Coverage X positioning: subscription model + Mepco financing = closer to Allstate SquareTrade than legacy F&amp;I providers</t>
        </is>
      </c>
    </row>
    <row r="28">
      <c r="A28" s="87" t="inlineStr">
        <is>
          <t>• Implied range for CX: $186M – $478M EV (using 5.8-15x on $31.9M FY 2025 EBIT) — pre-illiquidity discount</t>
        </is>
      </c>
    </row>
    <row r="31">
      <c r="A31" s="71" t="inlineStr">
        <is>
          <t>Caveats</t>
        </is>
      </c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</row>
    <row r="32">
      <c r="A32" s="70" t="inlineStr">
        <is>
          <t>Web research recommended to refresh — list above curated from analyst knowledge as of 2026-05-20.</t>
        </is>
      </c>
    </row>
    <row r="33">
      <c r="A33" s="70" t="inlineStr">
        <is>
          <t>Multiple imputations are illustrative; should be replaced with verified data from CapIQ / Mergermarket prior to client send.</t>
        </is>
      </c>
    </row>
  </sheetData>
  <mergeCells count="1">
    <mergeCell ref="A1:J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2" customWidth="1" style="50" min="1" max="1"/>
    <col width="14" customWidth="1" style="50" min="2" max="2"/>
    <col width="14" customWidth="1" style="50" min="3" max="3"/>
    <col width="14" customWidth="1" style="50" min="4" max="4"/>
    <col width="36" customWidth="1" style="50" min="5" max="5"/>
    <col width="12" customWidth="1" style="50" min="6" max="6"/>
    <col width="12" customWidth="1" style="50" min="7" max="7"/>
    <col width="12" customWidth="1" style="50" min="8" max="8"/>
    <col width="12" customWidth="1" style="50" min="9" max="9"/>
  </cols>
  <sheetData>
    <row r="1" ht="32" customHeight="1" s="50">
      <c r="A1" s="68" t="inlineStr">
        <is>
          <t>LBO Returns — Sponsor IRR / MOIC Sensitivity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</row>
    <row r="3">
      <c r="A3" s="70" t="inlineStr">
        <is>
          <t>Indicative sponsor returns under 3 entry-valuation scenarios. V52 forecast applied — caveat: aggressive growth.</t>
        </is>
      </c>
    </row>
    <row r="5">
      <c r="A5" s="71" t="inlineStr">
        <is>
          <t>A.  Entry assumptions (3 scenarios)</t>
        </is>
      </c>
      <c r="B5" s="72" t="n"/>
      <c r="C5" s="72" t="n"/>
      <c r="D5" s="72" t="n"/>
      <c r="E5" s="72" t="n"/>
      <c r="F5" s="72" t="n"/>
      <c r="G5" s="72" t="n"/>
      <c r="H5" s="72" t="n"/>
      <c r="I5" s="72" t="n"/>
    </row>
    <row r="6">
      <c r="A6" s="73" t="inlineStr">
        <is>
          <t>Driver</t>
        </is>
      </c>
      <c r="B6" s="73" t="inlineStr">
        <is>
          <t>Low ($300M)</t>
        </is>
      </c>
      <c r="C6" s="73" t="inlineStr">
        <is>
          <t>Mid ($400M)</t>
        </is>
      </c>
      <c r="D6" s="73" t="inlineStr">
        <is>
          <t>High ($500M)</t>
        </is>
      </c>
      <c r="E6" s="73" t="inlineStr">
        <is>
          <t>Notes</t>
        </is>
      </c>
    </row>
    <row r="7">
      <c r="A7" s="87" t="inlineStr">
        <is>
          <t>Enterprise Value at entry ($M)</t>
        </is>
      </c>
      <c r="B7" s="89" t="n">
        <v>300</v>
      </c>
      <c r="C7" s="89" t="n">
        <v>400</v>
      </c>
      <c r="D7" s="89" t="n">
        <v>500</v>
      </c>
      <c r="E7" s="70" t="inlineStr">
        <is>
          <t>Base / mid / high — anchored to V53 valuation range</t>
        </is>
      </c>
    </row>
    <row r="8">
      <c r="A8" s="87" t="inlineStr">
        <is>
          <t>Implied EV / FY 2025 EBIT</t>
        </is>
      </c>
      <c r="B8" s="77">
        <f>B7/31.9</f>
        <v/>
      </c>
      <c r="C8" s="77">
        <f>C7/31.9</f>
        <v/>
      </c>
      <c r="D8" s="77">
        <f>D7/31.9</f>
        <v/>
      </c>
      <c r="E8" s="70" t="inlineStr">
        <is>
          <t>FY 2025 EBIT $31.9M</t>
        </is>
      </c>
    </row>
    <row r="9">
      <c r="A9" s="87" t="inlineStr">
        <is>
          <t>Implied EV / 2026E EBITDA</t>
        </is>
      </c>
      <c r="B9" s="77">
        <f>B7/91</f>
        <v/>
      </c>
      <c r="C9" s="77">
        <f>C7/91</f>
        <v/>
      </c>
      <c r="D9" s="77">
        <f>D7/91</f>
        <v/>
      </c>
      <c r="E9" s="70" t="inlineStr">
        <is>
          <t>V52 forecast 2026E EBIT $91M</t>
        </is>
      </c>
    </row>
    <row r="10">
      <c r="A10" s="87" t="inlineStr">
        <is>
          <t>Sponsor equity ($M)</t>
        </is>
      </c>
      <c r="B10" s="76" t="n">
        <v>120</v>
      </c>
      <c r="C10" s="76" t="n">
        <v>160</v>
      </c>
      <c r="D10" s="76" t="n">
        <v>200</v>
      </c>
      <c r="E10" s="70" t="inlineStr">
        <is>
          <t>40% equity / 60% debt typical for specialty insurance LBOs</t>
        </is>
      </c>
    </row>
    <row r="11">
      <c r="A11" s="87" t="inlineStr">
        <is>
          <t>Term Loan ($M)</t>
        </is>
      </c>
      <c r="B11" s="76" t="n">
        <v>150</v>
      </c>
      <c r="C11" s="76" t="n">
        <v>200</v>
      </c>
      <c r="D11" s="76" t="n">
        <v>250</v>
      </c>
      <c r="E11" s="70" t="inlineStr">
        <is>
          <t>New $150-250M term loan replaces CNB $15M LOC</t>
        </is>
      </c>
    </row>
    <row r="12">
      <c r="A12" s="87" t="inlineStr">
        <is>
          <t>Revolver ($M, undrawn)</t>
        </is>
      </c>
      <c r="B12" s="76" t="n">
        <v>30</v>
      </c>
      <c r="C12" s="76" t="n">
        <v>40</v>
      </c>
      <c r="D12" s="76" t="n">
        <v>50</v>
      </c>
      <c r="E12" s="70" t="inlineStr">
        <is>
          <t>Working capital backstop</t>
        </is>
      </c>
    </row>
    <row r="13">
      <c r="A13" s="87" t="inlineStr">
        <is>
          <t>Mepco IAA continues (rolled)</t>
        </is>
      </c>
      <c r="B13" s="76" t="n">
        <v>149</v>
      </c>
      <c r="C13" s="76" t="n">
        <v>149</v>
      </c>
      <c r="D13" s="76" t="n">
        <v>149</v>
      </c>
      <c r="E13" s="70" t="inlineStr">
        <is>
          <t>Mepco programme assumed continuing — debt-equivalent</t>
        </is>
      </c>
    </row>
    <row r="14">
      <c r="A14" s="87" t="inlineStr">
        <is>
          <t>Total Debt at entry ($M)</t>
        </is>
      </c>
      <c r="B14" s="77">
        <f>B11+B13</f>
        <v/>
      </c>
      <c r="C14" s="77">
        <f>C11+C13</f>
        <v/>
      </c>
      <c r="D14" s="77">
        <f>D11+D13</f>
        <v/>
      </c>
      <c r="E14" s="70" t="inlineStr">
        <is>
          <t>Term Loan + Mepco</t>
        </is>
      </c>
    </row>
    <row r="17">
      <c r="A17" s="71" t="inlineStr">
        <is>
          <t>B.  Sponsor IRR at 5-yr exit (entry × exit multiple grid)</t>
        </is>
      </c>
      <c r="B17" s="72" t="n"/>
      <c r="C17" s="72" t="n"/>
      <c r="D17" s="72" t="n"/>
      <c r="E17" s="72" t="n"/>
      <c r="F17" s="72" t="n"/>
      <c r="G17" s="72" t="n"/>
      <c r="H17" s="72" t="n"/>
      <c r="I17" s="72" t="n"/>
    </row>
    <row r="18">
      <c r="A18" s="73" t="inlineStr">
        <is>
          <t>Entry EV ($M) ↓ / Exit EV/EBITDA →</t>
        </is>
      </c>
      <c r="B18" s="93" t="n">
        <v>6</v>
      </c>
      <c r="C18" s="93" t="n">
        <v>7</v>
      </c>
      <c r="D18" s="93" t="n">
        <v>8</v>
      </c>
      <c r="E18" s="93" t="n">
        <v>9</v>
      </c>
      <c r="F18" s="93" t="n">
        <v>10</v>
      </c>
      <c r="G18" s="93" t="n">
        <v>12</v>
      </c>
    </row>
    <row r="19">
      <c r="A19" s="77" t="n">
        <v>300</v>
      </c>
      <c r="B19" s="94" t="n">
        <v>1.079977993204496</v>
      </c>
      <c r="C19" s="94" t="n">
        <v>1.148115602575301</v>
      </c>
      <c r="D19" s="94" t="n">
        <v>1.208566150945494</v>
      </c>
      <c r="E19" s="94" t="n">
        <v>1.263042350163269</v>
      </c>
      <c r="F19" s="94" t="n">
        <v>1.312728058593177</v>
      </c>
      <c r="G19" s="94" t="n">
        <v>1.40093119102406</v>
      </c>
    </row>
    <row r="20">
      <c r="A20" s="77" t="n">
        <v>350</v>
      </c>
      <c r="B20" s="94" t="n">
        <v>1.015013954037616</v>
      </c>
      <c r="C20" s="94" t="n">
        <v>1.081303087257817</v>
      </c>
      <c r="D20" s="94" t="n">
        <v>1.140086380450838</v>
      </c>
      <c r="E20" s="94" t="n">
        <v>1.193041536339977</v>
      </c>
      <c r="F20" s="94" t="n">
        <v>1.241326731684466</v>
      </c>
      <c r="G20" s="94" t="n">
        <v>1.32701734636936</v>
      </c>
    </row>
    <row r="21">
      <c r="A21" s="77" t="n">
        <v>400</v>
      </c>
      <c r="B21" s="94" t="n">
        <v>0.9601376629719409</v>
      </c>
      <c r="C21" s="94" t="n">
        <v>1.024895869746405</v>
      </c>
      <c r="D21" s="94" t="n">
        <v>1.082294697809637</v>
      </c>
      <c r="E21" s="94" t="n">
        <v>1.133984410002707</v>
      </c>
      <c r="F21" s="94" t="n">
        <v>1.181102773537893</v>
      </c>
      <c r="G21" s="94" t="n">
        <v>1.264696852249678</v>
      </c>
    </row>
    <row r="22">
      <c r="A22" s="77" t="n">
        <v>450</v>
      </c>
      <c r="B22" s="94" t="n">
        <v>0.912763107746339</v>
      </c>
      <c r="C22" s="94" t="n">
        <v>0.9762262075733719</v>
      </c>
      <c r="D22" s="94" t="n">
        <v>1.032450568980578</v>
      </c>
      <c r="E22" s="94" t="n">
        <v>1.083064646650772</v>
      </c>
      <c r="F22" s="94" t="n">
        <v>1.129189716389099</v>
      </c>
      <c r="G22" s="94" t="n">
        <v>1.210996196770899</v>
      </c>
    </row>
    <row r="23">
      <c r="A23" s="77" t="n">
        <v>500</v>
      </c>
      <c r="B23" s="94" t="n">
        <v>0.8711689533653812</v>
      </c>
      <c r="C23" s="94" t="n">
        <v>0.9335184447096694</v>
      </c>
      <c r="D23" s="94" t="n">
        <v>0.988729949678737</v>
      </c>
      <c r="E23" s="94" t="n">
        <v>1.038414462288541</v>
      </c>
      <c r="F23" s="94" t="n">
        <v>1.083679787130479</v>
      </c>
      <c r="G23" s="94" t="n">
        <v>1.163936425821642</v>
      </c>
    </row>
    <row r="24">
      <c r="A24" s="77" t="n">
        <v>550</v>
      </c>
      <c r="B24" s="94" t="n">
        <v>0.8341546886023468</v>
      </c>
      <c r="C24" s="94" t="n">
        <v>0.89553424171866</v>
      </c>
      <c r="D24" s="94" t="n">
        <v>0.9498607978443114</v>
      </c>
      <c r="E24" s="94" t="n">
        <v>0.9987313460833089</v>
      </c>
      <c r="F24" s="94" t="n">
        <v>1.043242616079137</v>
      </c>
      <c r="G24" s="94" t="n">
        <v>1.122137575348555</v>
      </c>
    </row>
    <row r="27">
      <c r="A27" s="71" t="inlineStr">
        <is>
          <t>C.  MOIC at 5-yr exit (same grid)</t>
        </is>
      </c>
      <c r="B27" s="72" t="n"/>
      <c r="C27" s="72" t="n"/>
      <c r="D27" s="72" t="n"/>
      <c r="E27" s="72" t="n"/>
      <c r="F27" s="72" t="n"/>
      <c r="G27" s="72" t="n"/>
      <c r="H27" s="72" t="n"/>
      <c r="I27" s="72" t="n"/>
    </row>
    <row r="28">
      <c r="A28" s="73" t="inlineStr">
        <is>
          <t>Entry EV ($M) ↓ / Exit EV/EBITDA →</t>
        </is>
      </c>
      <c r="B28" s="93" t="n">
        <v>6</v>
      </c>
      <c r="C28" s="93" t="n">
        <v>7</v>
      </c>
      <c r="D28" s="93" t="n">
        <v>8</v>
      </c>
      <c r="E28" s="93" t="n">
        <v>9</v>
      </c>
      <c r="F28" s="93" t="n">
        <v>10</v>
      </c>
      <c r="G28" s="93" t="n">
        <v>12</v>
      </c>
    </row>
    <row r="29">
      <c r="A29" s="77" t="n">
        <v>300</v>
      </c>
      <c r="B29" s="42" t="n">
        <v>38.93083333333333</v>
      </c>
      <c r="C29" s="42" t="n">
        <v>45.73916666666666</v>
      </c>
      <c r="D29" s="42" t="n">
        <v>52.5475</v>
      </c>
      <c r="E29" s="42" t="n">
        <v>59.35583333333333</v>
      </c>
      <c r="F29" s="42" t="n">
        <v>66.16416666666666</v>
      </c>
      <c r="G29" s="42" t="n">
        <v>79.78083333333333</v>
      </c>
    </row>
    <row r="30">
      <c r="A30" s="77" t="n">
        <v>350</v>
      </c>
      <c r="B30" s="42" t="n">
        <v>33.21928571428571</v>
      </c>
      <c r="C30" s="42" t="n">
        <v>39.055</v>
      </c>
      <c r="D30" s="42" t="n">
        <v>44.89071428571428</v>
      </c>
      <c r="E30" s="42" t="n">
        <v>50.72642857142857</v>
      </c>
      <c r="F30" s="42" t="n">
        <v>56.56214285714285</v>
      </c>
      <c r="G30" s="42" t="n">
        <v>68.23357142857144</v>
      </c>
    </row>
    <row r="31">
      <c r="A31" s="77" t="n">
        <v>400</v>
      </c>
      <c r="B31" s="42" t="n">
        <v>28.935625</v>
      </c>
      <c r="C31" s="42" t="n">
        <v>34.041875</v>
      </c>
      <c r="D31" s="42" t="n">
        <v>39.148125</v>
      </c>
      <c r="E31" s="42" t="n">
        <v>44.254375</v>
      </c>
      <c r="F31" s="42" t="n">
        <v>49.360625</v>
      </c>
      <c r="G31" s="42" t="n">
        <v>59.573125</v>
      </c>
    </row>
    <row r="32">
      <c r="A32" s="77" t="n">
        <v>450</v>
      </c>
      <c r="B32" s="42" t="n">
        <v>25.60388888888889</v>
      </c>
      <c r="C32" s="42" t="n">
        <v>30.14277777777778</v>
      </c>
      <c r="D32" s="42" t="n">
        <v>34.68166666666666</v>
      </c>
      <c r="E32" s="42" t="n">
        <v>39.22055555555556</v>
      </c>
      <c r="F32" s="42" t="n">
        <v>43.75944444444444</v>
      </c>
      <c r="G32" s="42" t="n">
        <v>52.83722222222222</v>
      </c>
    </row>
    <row r="33">
      <c r="A33" s="77" t="n">
        <v>500</v>
      </c>
      <c r="B33" s="42" t="n">
        <v>22.9385</v>
      </c>
      <c r="C33" s="42" t="n">
        <v>27.0235</v>
      </c>
      <c r="D33" s="42" t="n">
        <v>31.1085</v>
      </c>
      <c r="E33" s="42" t="n">
        <v>35.1935</v>
      </c>
      <c r="F33" s="42" t="n">
        <v>39.2785</v>
      </c>
      <c r="G33" s="42" t="n">
        <v>47.4485</v>
      </c>
    </row>
    <row r="34">
      <c r="A34" s="77" t="n">
        <v>550</v>
      </c>
      <c r="B34" s="42" t="n">
        <v>20.75772727272727</v>
      </c>
      <c r="C34" s="42" t="n">
        <v>24.47136363636363</v>
      </c>
      <c r="D34" s="42" t="n">
        <v>28.185</v>
      </c>
      <c r="E34" s="42" t="n">
        <v>31.89863636363636</v>
      </c>
      <c r="F34" s="42" t="n">
        <v>35.61227272727272</v>
      </c>
      <c r="G34" s="42" t="n">
        <v>43.03954545454546</v>
      </c>
    </row>
    <row r="37">
      <c r="A37" s="71" t="inlineStr">
        <is>
          <t>D.  Sponsor IRR by hold period (mid case: $400M entry, 8x exit)</t>
        </is>
      </c>
      <c r="B37" s="72" t="n"/>
      <c r="C37" s="72" t="n"/>
      <c r="D37" s="72" t="n"/>
      <c r="E37" s="72" t="n"/>
      <c r="F37" s="72" t="n"/>
      <c r="G37" s="72" t="n"/>
      <c r="H37" s="72" t="n"/>
      <c r="I37" s="72" t="n"/>
    </row>
    <row r="38">
      <c r="A38" s="73" t="inlineStr">
        <is>
          <t>Hold years</t>
        </is>
      </c>
      <c r="B38" s="73" t="inlineStr">
        <is>
          <t>IRR</t>
        </is>
      </c>
      <c r="C38" s="73" t="inlineStr">
        <is>
          <t>MOIC</t>
        </is>
      </c>
    </row>
    <row r="39">
      <c r="A39" s="87" t="n">
        <v>3</v>
      </c>
      <c r="B39" s="34" t="n">
        <v>1.039501151573405</v>
      </c>
      <c r="C39" s="42" t="n">
        <v>8.483437499999999</v>
      </c>
    </row>
    <row r="40">
      <c r="A40" s="87" t="n">
        <v>4</v>
      </c>
      <c r="B40" s="34" t="n">
        <v>0.852755028559214</v>
      </c>
      <c r="C40" s="42" t="n">
        <v>11.7834375</v>
      </c>
    </row>
    <row r="41">
      <c r="A41" s="87" t="n">
        <v>5</v>
      </c>
      <c r="B41" s="34" t="n">
        <v>0.7366852236115</v>
      </c>
      <c r="C41" s="42" t="n">
        <v>15.798125</v>
      </c>
    </row>
    <row r="42">
      <c r="A42" s="87" t="n">
        <v>6</v>
      </c>
      <c r="B42" s="34" t="n">
        <v>0.6377685200965137</v>
      </c>
      <c r="C42" s="42" t="n">
        <v>19.298125</v>
      </c>
    </row>
    <row r="43">
      <c r="A43" s="87" t="n">
        <v>7</v>
      </c>
      <c r="B43" s="34" t="n">
        <v>0.5630957781399568</v>
      </c>
      <c r="C43" s="42" t="n">
        <v>22.798125</v>
      </c>
    </row>
    <row r="46">
      <c r="A46" s="71" t="inlineStr">
        <is>
          <t>Caveats</t>
        </is>
      </c>
      <c r="B46" s="72" t="n"/>
      <c r="C46" s="72" t="n"/>
      <c r="D46" s="72" t="n"/>
      <c r="E46" s="72" t="n"/>
      <c r="F46" s="72" t="n"/>
      <c r="G46" s="72" t="n"/>
      <c r="H46" s="72" t="n"/>
      <c r="I46" s="72" t="n"/>
    </row>
    <row r="47">
      <c r="A47" s="70" t="inlineStr">
        <is>
          <t>• V52 forecast trajectory (5-yr CAGR ~65%) is aggressive — sensitivity should be run against more conservative growth scenarios</t>
        </is>
      </c>
    </row>
    <row r="48">
      <c r="A48" s="70" t="inlineStr">
        <is>
          <t>• Mepco IAA continuation assumes programme remains in force; sponsor may need to reserve cash for Mepco call protection</t>
        </is>
      </c>
    </row>
    <row r="49">
      <c r="A49" s="70" t="inlineStr">
        <is>
          <t>• Term Loan pricing TBD — assumed SOFR+500 (high yield range)</t>
        </is>
      </c>
    </row>
    <row r="50">
      <c r="A50" s="70" t="inlineStr">
        <is>
          <t>• Tax treatment: assumed 21% C-corp from year 1 post-acquisition</t>
        </is>
      </c>
    </row>
    <row r="51">
      <c r="A51" s="70" t="inlineStr">
        <is>
          <t>• No dividend recap modeled; pure exit-driven return</t>
        </is>
      </c>
    </row>
  </sheetData>
  <mergeCells count="1">
    <mergeCell ref="A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style="50" min="1" max="1"/>
    <col width="28" customWidth="1" style="50" min="2" max="2"/>
    <col width="4" customWidth="1" style="50" min="3" max="3"/>
    <col width="60" customWidth="1" style="50" min="4" max="4"/>
  </cols>
  <sheetData>
    <row r="1" ht="32" customHeight="1" s="50">
      <c r="A1" s="68" t="inlineStr">
        <is>
          <t>Process &amp; Asks — Discussion Framework</t>
        </is>
      </c>
    </row>
    <row r="2">
      <c r="A2" s="69" t="n"/>
      <c r="B2" s="69" t="n"/>
      <c r="C2" s="69" t="n"/>
      <c r="D2" s="69" t="n"/>
      <c r="E2" s="69" t="n"/>
      <c r="F2" s="69" t="n"/>
      <c r="G2" s="69" t="n"/>
      <c r="H2" s="69" t="n"/>
    </row>
    <row r="3">
      <c r="A3" s="70" t="inlineStr">
        <is>
          <t>Detailed in deck slides 21-22. This tab summarizes asks + timeline for diligence flow.</t>
        </is>
      </c>
    </row>
    <row r="5">
      <c r="A5" s="71" t="inlineStr">
        <is>
          <t>Indicative Process Timeline</t>
        </is>
      </c>
      <c r="B5" s="72" t="n"/>
      <c r="C5" s="72" t="n"/>
      <c r="D5" s="72" t="n"/>
      <c r="E5" s="72" t="n"/>
      <c r="F5" s="72" t="n"/>
      <c r="G5" s="72" t="n"/>
      <c r="H5" s="72" t="n"/>
    </row>
    <row r="6">
      <c r="A6" s="78" t="inlineStr">
        <is>
          <t>Week 0</t>
        </is>
      </c>
      <c r="B6" s="87" t="inlineStr">
        <is>
          <t>Initial diligence review</t>
        </is>
      </c>
      <c r="D6" s="70" t="inlineStr">
        <is>
          <t>Pack review + Q&amp;A</t>
        </is>
      </c>
    </row>
    <row r="7">
      <c r="A7" s="78" t="inlineStr">
        <is>
          <t>Week 1-2</t>
        </is>
      </c>
      <c r="B7" s="87" t="inlineStr">
        <is>
          <t>Management meetings</t>
        </is>
      </c>
      <c r="D7" s="70" t="inlineStr">
        <is>
          <t>CEO + COO + CFO</t>
        </is>
      </c>
    </row>
    <row r="8">
      <c r="A8" s="78" t="inlineStr">
        <is>
          <t>Week 3-4</t>
        </is>
      </c>
      <c r="B8" s="87" t="inlineStr">
        <is>
          <t>Site visit</t>
        </is>
      </c>
      <c r="D8" s="70" t="inlineStr">
        <is>
          <t>Tampa / Newport Beach offices</t>
        </is>
      </c>
    </row>
    <row r="9">
      <c r="A9" s="78" t="inlineStr">
        <is>
          <t>Week 5-6</t>
        </is>
      </c>
      <c r="B9" s="87" t="inlineStr">
        <is>
          <t>Deep-dive workstreams</t>
        </is>
      </c>
      <c r="D9" s="70" t="inlineStr">
        <is>
          <t>Insurance program, Mepco terms, technology</t>
        </is>
      </c>
    </row>
    <row r="10">
      <c r="A10" s="78" t="inlineStr">
        <is>
          <t>Week 7-8</t>
        </is>
      </c>
      <c r="B10" s="87" t="inlineStr">
        <is>
          <t>Indication of interest</t>
        </is>
      </c>
      <c r="D10" s="70" t="inlineStr">
        <is>
          <t>Non-binding LOI</t>
        </is>
      </c>
    </row>
    <row r="11">
      <c r="A11" s="78" t="inlineStr">
        <is>
          <t>Week 9-12</t>
        </is>
      </c>
      <c r="B11" s="87" t="inlineStr">
        <is>
          <t>Confirmatory diligence</t>
        </is>
      </c>
      <c r="D11" s="70" t="inlineStr">
        <is>
          <t>QofE, legal, regulatory</t>
        </is>
      </c>
    </row>
    <row r="12">
      <c r="A12" s="78" t="inlineStr">
        <is>
          <t>Week 13+</t>
        </is>
      </c>
      <c r="B12" s="87" t="inlineStr">
        <is>
          <t>Definitive agreement</t>
        </is>
      </c>
      <c r="D12" s="70" t="inlineStr">
        <is>
          <t>Signing + closing</t>
        </is>
      </c>
    </row>
    <row r="14">
      <c r="A14" s="71" t="inlineStr">
        <is>
          <t>Key Asks</t>
        </is>
      </c>
      <c r="B14" s="72" t="n"/>
      <c r="C14" s="72" t="n"/>
      <c r="D14" s="72" t="n"/>
      <c r="E14" s="72" t="n"/>
      <c r="F14" s="72" t="n"/>
      <c r="G14" s="72" t="n"/>
      <c r="H14" s="72" t="n"/>
    </row>
    <row r="15">
      <c r="A15" s="87" t="inlineStr">
        <is>
          <t>1. Audited financials FY 2023, FY 2024, FY 2025 (latest two years currently un-audited)</t>
        </is>
      </c>
    </row>
    <row r="16">
      <c r="A16" s="87" t="inlineStr">
        <is>
          <t>2. Formal cash flow statement (Q4 PDF has condensed only)</t>
        </is>
      </c>
    </row>
    <row r="17">
      <c r="A17" s="87" t="inlineStr">
        <is>
          <t>3. Owner compensation history and normalization for QofE</t>
        </is>
      </c>
    </row>
    <row r="18">
      <c r="A18" s="87" t="inlineStr">
        <is>
          <t>4. LTV/CAC by acquisition channel (currently estimated)</t>
        </is>
      </c>
    </row>
    <row r="19">
      <c r="A19" s="87" t="inlineStr">
        <is>
          <t>5. Mepco programme cancellation provisions and contingency funding sources</t>
        </is>
      </c>
    </row>
    <row r="20">
      <c r="A20" s="87" t="inlineStr">
        <is>
          <t>6. Channel-level historical performance (CX vs ASD vs Home vs Producer)</t>
        </is>
      </c>
    </row>
    <row r="21">
      <c r="A21" s="87" t="inlineStr">
        <is>
          <t>7. Customer cohort retention data by vintage month</t>
        </is>
      </c>
    </row>
    <row r="22">
      <c r="A22" s="87" t="inlineStr">
        <is>
          <t>8. Insurance program economics — Lloyd's and State National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2026-05-20T03:20:30Z</dcterms:created>
  <dcterms:modified xsi:type="dcterms:W3CDTF">2026-10-15T15:38:53Z</dcterms:modified>
  <cp:lastModifiedBy>Boyer, Bode Thomas</cp:lastModifiedBy>
</cp:coreProperties>
</file>